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Devtree\BracketPickerProject\"/>
    </mc:Choice>
  </mc:AlternateContent>
  <bookViews>
    <workbookView xWindow="384" yWindow="36" windowWidth="22224" windowHeight="9552"/>
  </bookViews>
  <sheets>
    <sheet name="Bracket" sheetId="1" r:id="rId1"/>
    <sheet name="Data" sheetId="16" r:id="rId2"/>
    <sheet name="Raw Data" sheetId="9" r:id="rId3"/>
    <sheet name="Adj Data" sheetId="10" r:id="rId4"/>
    <sheet name="Bracket Raw" sheetId="14" r:id="rId5"/>
    <sheet name="Seeds" sheetId="15" r:id="rId6"/>
  </sheets>
  <definedNames>
    <definedName name="team_data" localSheetId="2">'Raw Data'!$A$1:$G$352</definedName>
  </definedNames>
  <calcPr calcId="152511"/>
</workbook>
</file>

<file path=xl/calcChain.xml><?xml version="1.0" encoding="utf-8"?>
<calcChain xmlns="http://schemas.openxmlformats.org/spreadsheetml/2006/main">
  <c r="S35" i="1" l="1"/>
  <c r="S7" i="1"/>
  <c r="A63" i="1"/>
  <c r="A7" i="1"/>
  <c r="A35" i="1"/>
  <c r="N7" i="1"/>
  <c r="N3" i="1"/>
  <c r="K7" i="1"/>
  <c r="K3" i="1"/>
  <c r="H7" i="1"/>
  <c r="H3" i="1"/>
  <c r="E7" i="1"/>
  <c r="E3" i="1"/>
  <c r="C64" i="15" l="1" a="1"/>
  <c r="C64" i="15" s="1"/>
  <c r="C67" i="15" a="1"/>
  <c r="C67" i="15" s="1"/>
  <c r="B62" i="15" l="1"/>
  <c r="B63" i="15"/>
  <c r="B64" i="15"/>
  <c r="C65" i="15" a="1"/>
  <c r="C65" i="15" s="1"/>
  <c r="B61" i="15"/>
  <c r="C61" i="15" s="1" a="1"/>
  <c r="C61" i="15" s="1"/>
  <c r="B51" i="15"/>
  <c r="B52" i="15"/>
  <c r="B53" i="15"/>
  <c r="B54" i="15"/>
  <c r="B55" i="15"/>
  <c r="B56" i="15"/>
  <c r="B57" i="15"/>
  <c r="B58" i="15"/>
  <c r="C58" i="15" s="1" a="1"/>
  <c r="C58" i="15" s="1"/>
  <c r="B59" i="15"/>
  <c r="B50" i="15"/>
  <c r="B34" i="15"/>
  <c r="C34" i="15" s="1" a="1"/>
  <c r="C34" i="15" s="1"/>
  <c r="B35" i="15"/>
  <c r="B36" i="15"/>
  <c r="B37" i="15"/>
  <c r="B38" i="15"/>
  <c r="C38" i="15" s="1" a="1"/>
  <c r="C38" i="15" s="1"/>
  <c r="B39" i="15"/>
  <c r="C39" i="15" s="1" a="1"/>
  <c r="C39" i="15" s="1"/>
  <c r="B40" i="15"/>
  <c r="B41" i="15"/>
  <c r="B42" i="15"/>
  <c r="C42" i="15" s="1" a="1"/>
  <c r="C42" i="15" s="1"/>
  <c r="B43" i="15"/>
  <c r="B44" i="15"/>
  <c r="B45" i="15"/>
  <c r="B46" i="15"/>
  <c r="C46" i="15" s="1" a="1"/>
  <c r="C46" i="15" s="1"/>
  <c r="B47" i="15"/>
  <c r="B48" i="15"/>
  <c r="B49" i="15"/>
  <c r="B19" i="15"/>
  <c r="B20" i="15"/>
  <c r="C20" i="15" s="1" a="1"/>
  <c r="C20" i="15" s="1"/>
  <c r="B21" i="15"/>
  <c r="B22" i="15"/>
  <c r="C22" i="15" s="1" a="1"/>
  <c r="C22" i="15" s="1"/>
  <c r="B23" i="15"/>
  <c r="B24" i="15"/>
  <c r="C24" i="15" s="1" a="1"/>
  <c r="C24" i="15" s="1"/>
  <c r="B25" i="15"/>
  <c r="B26" i="15"/>
  <c r="C26" i="15" s="1" a="1"/>
  <c r="C26" i="15" s="1"/>
  <c r="B27" i="15"/>
  <c r="B29" i="15"/>
  <c r="B30" i="15"/>
  <c r="C30" i="15" s="1" a="1"/>
  <c r="C30" i="15" s="1"/>
  <c r="B31" i="15"/>
  <c r="B32" i="15"/>
  <c r="B18" i="15"/>
  <c r="B14" i="15"/>
  <c r="B15" i="15"/>
  <c r="B16" i="15"/>
  <c r="B13" i="15"/>
  <c r="B3" i="15"/>
  <c r="B4" i="15"/>
  <c r="C4" i="15" s="1" a="1"/>
  <c r="C4" i="15" s="1"/>
  <c r="A38" i="1" s="1"/>
  <c r="B5" i="15"/>
  <c r="B6" i="15"/>
  <c r="B7" i="15"/>
  <c r="B8" i="15"/>
  <c r="C8" i="15" s="1" a="1"/>
  <c r="C8" i="15" s="1"/>
  <c r="A45" i="1" s="1"/>
  <c r="B9" i="15"/>
  <c r="B10" i="15"/>
  <c r="C10" i="15" s="1" a="1"/>
  <c r="C10" i="15" s="1"/>
  <c r="B11" i="15"/>
  <c r="B2" i="15"/>
  <c r="A3" i="1" s="1"/>
  <c r="C49" i="15" a="1"/>
  <c r="C49" i="15" s="1"/>
  <c r="C44" i="15" a="1"/>
  <c r="C44" i="15" s="1"/>
  <c r="C28" i="15" a="1"/>
  <c r="C28" i="15" s="1"/>
  <c r="C51" i="15" a="1"/>
  <c r="C51" i="15" s="1"/>
  <c r="C52" i="15" a="1"/>
  <c r="C52" i="15" s="1"/>
  <c r="C53" i="15" a="1"/>
  <c r="C53" i="15" s="1"/>
  <c r="C54" i="15" a="1"/>
  <c r="C54" i="15" s="1"/>
  <c r="C55" i="15" a="1"/>
  <c r="C55" i="15" s="1"/>
  <c r="C56" i="15" a="1"/>
  <c r="C56" i="15" s="1"/>
  <c r="C57" i="15" a="1"/>
  <c r="C57" i="15" s="1"/>
  <c r="C59" i="15" a="1"/>
  <c r="C59" i="15" s="1"/>
  <c r="C60" i="15" a="1"/>
  <c r="C60" i="15" s="1"/>
  <c r="C62" i="15" a="1"/>
  <c r="C62" i="15" s="1"/>
  <c r="C63" i="15" a="1"/>
  <c r="C63" i="15" s="1"/>
  <c r="C50" i="15" a="1"/>
  <c r="C50" i="15" s="1"/>
  <c r="C35" i="15" a="1"/>
  <c r="C35" i="15" s="1"/>
  <c r="C36" i="15" a="1"/>
  <c r="C36" i="15" s="1"/>
  <c r="C37" i="15" a="1"/>
  <c r="C37" i="15" s="1"/>
  <c r="C40" i="15" a="1"/>
  <c r="C40" i="15" s="1"/>
  <c r="C41" i="15" a="1"/>
  <c r="C41" i="15" s="1"/>
  <c r="C43" i="15" a="1"/>
  <c r="C43" i="15" s="1"/>
  <c r="C45" i="15" a="1"/>
  <c r="C45" i="15" s="1"/>
  <c r="C47" i="15" a="1"/>
  <c r="C47" i="15" s="1"/>
  <c r="C48" i="15" a="1"/>
  <c r="C48" i="15" s="1"/>
  <c r="C19" i="15" a="1"/>
  <c r="C19" i="15" s="1"/>
  <c r="C21" i="15" a="1"/>
  <c r="C21" i="15" s="1"/>
  <c r="C23" i="15" a="1"/>
  <c r="C23" i="15" s="1"/>
  <c r="S31" i="1" s="1"/>
  <c r="C25" i="15" a="1"/>
  <c r="C25" i="15" s="1"/>
  <c r="C27" i="15" a="1"/>
  <c r="C27" i="15" s="1"/>
  <c r="C29" i="15" a="1"/>
  <c r="C29" i="15" s="1"/>
  <c r="S21" i="1" s="1"/>
  <c r="C31" i="15" a="1"/>
  <c r="C31" i="15" s="1"/>
  <c r="C32" i="15" a="1"/>
  <c r="C32" i="15" s="1"/>
  <c r="C33" i="15" a="1"/>
  <c r="C33" i="15" s="1"/>
  <c r="C18" i="15" a="1"/>
  <c r="C18" i="15" s="1"/>
  <c r="S3" i="1" s="1"/>
  <c r="C3" i="15" a="1"/>
  <c r="C3" i="15" s="1"/>
  <c r="C5" i="15" a="1"/>
  <c r="C5" i="15" s="1"/>
  <c r="C6" i="15" a="1"/>
  <c r="C6" i="15" s="1"/>
  <c r="A17" i="1" s="1"/>
  <c r="C7" i="15" a="1"/>
  <c r="C7" i="15" s="1"/>
  <c r="C9" i="15" a="1"/>
  <c r="C9" i="15" s="1"/>
  <c r="C11" i="15" a="1"/>
  <c r="C11" i="15" s="1"/>
  <c r="A49" i="1" s="1"/>
  <c r="C12" i="15" a="1"/>
  <c r="C12" i="15" s="1"/>
  <c r="C13" i="15" a="1"/>
  <c r="C13" i="15" s="1"/>
  <c r="C14" i="15" a="1"/>
  <c r="C14" i="15" s="1"/>
  <c r="A28" i="1" s="1"/>
  <c r="C15" i="15" a="1"/>
  <c r="C15" i="15" s="1"/>
  <c r="A42" i="1" s="1"/>
  <c r="C16" i="15" a="1"/>
  <c r="C16" i="15" s="1"/>
  <c r="A56" i="1" s="1"/>
  <c r="C17" i="15" a="1"/>
  <c r="C17" i="15" s="1"/>
  <c r="C69" i="15" a="1"/>
  <c r="C69" i="15" s="1"/>
  <c r="C66" i="15" a="1"/>
  <c r="C66" i="15" s="1"/>
  <c r="C73" i="15" a="1"/>
  <c r="C73" i="15" s="1"/>
  <c r="C72" i="15" a="1"/>
  <c r="C72" i="15" s="1"/>
  <c r="C70" i="15" a="1"/>
  <c r="C70" i="15" s="1"/>
  <c r="C71" i="15" a="1"/>
  <c r="C71" i="15" s="1"/>
  <c r="C68" i="15" a="1"/>
  <c r="C68" i="15" s="1"/>
  <c r="A91" i="1" l="1"/>
  <c r="C28" i="14" s="1"/>
  <c r="A87" i="1"/>
  <c r="A108" i="1"/>
  <c r="S73" i="1"/>
  <c r="S59" i="1"/>
  <c r="S105" i="1"/>
  <c r="A59" i="1"/>
  <c r="A10" i="1"/>
  <c r="A24" i="1"/>
  <c r="S49" i="1"/>
  <c r="S24" i="1"/>
  <c r="S112" i="1"/>
  <c r="S66" i="1"/>
  <c r="S80" i="1"/>
  <c r="A112" i="1"/>
  <c r="A105" i="1"/>
  <c r="A73" i="1"/>
  <c r="S28" i="1"/>
  <c r="S14" i="1"/>
  <c r="S17" i="1"/>
  <c r="S84" i="1"/>
  <c r="S70" i="1"/>
  <c r="C2" i="15" a="1"/>
  <c r="C2" i="15" s="1"/>
  <c r="A21" i="1"/>
  <c r="S56" i="1"/>
  <c r="S10" i="1"/>
  <c r="S38" i="1"/>
  <c r="S98" i="1"/>
  <c r="S101" i="1"/>
  <c r="S94" i="1"/>
  <c r="A98" i="1"/>
  <c r="A66" i="1"/>
  <c r="A80" i="1"/>
  <c r="S91" i="1"/>
  <c r="C60" i="14" s="1"/>
  <c r="A14" i="1"/>
  <c r="A31" i="1"/>
  <c r="A52" i="1"/>
  <c r="S42" i="1"/>
  <c r="S45" i="1"/>
  <c r="S52" i="1"/>
  <c r="S77" i="1"/>
  <c r="S87" i="1"/>
  <c r="S108" i="1"/>
  <c r="A84" i="1"/>
  <c r="A101" i="1"/>
  <c r="A94" i="1"/>
  <c r="S63" i="1"/>
  <c r="A70" i="1"/>
  <c r="A77" i="1"/>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G34" i="14"/>
  <c r="E34" i="14"/>
  <c r="A34" i="14"/>
  <c r="G33" i="14"/>
  <c r="E33" i="14"/>
  <c r="A33" i="14"/>
  <c r="G32" i="14"/>
  <c r="E32" i="14"/>
  <c r="A32" i="14"/>
  <c r="G31" i="14"/>
  <c r="E31" i="14"/>
  <c r="A31" i="14"/>
  <c r="G30" i="14"/>
  <c r="E30" i="14"/>
  <c r="A30" i="14"/>
  <c r="G29" i="14"/>
  <c r="E29" i="14"/>
  <c r="A29" i="14"/>
  <c r="G28" i="14"/>
  <c r="E28" i="14"/>
  <c r="A28" i="14"/>
  <c r="G27" i="14"/>
  <c r="E27" i="14"/>
  <c r="A27" i="14"/>
  <c r="G26" i="14"/>
  <c r="E26" i="14"/>
  <c r="A26" i="14"/>
  <c r="G25" i="14"/>
  <c r="E25" i="14"/>
  <c r="A25" i="14"/>
  <c r="G24" i="14"/>
  <c r="E24" i="14"/>
  <c r="A24" i="14"/>
  <c r="G23" i="14"/>
  <c r="E23" i="14"/>
  <c r="A23" i="14"/>
  <c r="G22" i="14"/>
  <c r="E22" i="14"/>
  <c r="A22" i="14"/>
  <c r="G21" i="14"/>
  <c r="E21" i="14"/>
  <c r="A21" i="14"/>
  <c r="G20" i="14"/>
  <c r="E20" i="14"/>
  <c r="A20" i="14"/>
  <c r="G19" i="14"/>
  <c r="E19" i="14"/>
  <c r="A19" i="14"/>
  <c r="K18" i="14"/>
  <c r="I18" i="14"/>
  <c r="G18" i="14"/>
  <c r="E18" i="14"/>
  <c r="A18" i="14"/>
  <c r="K17" i="14"/>
  <c r="I17" i="14"/>
  <c r="G17" i="14"/>
  <c r="E17" i="14"/>
  <c r="A17" i="14"/>
  <c r="K16" i="14"/>
  <c r="I16" i="14"/>
  <c r="G16" i="14"/>
  <c r="E16" i="14"/>
  <c r="A16" i="14"/>
  <c r="K15" i="14"/>
  <c r="I15" i="14"/>
  <c r="G15" i="14"/>
  <c r="E15" i="14"/>
  <c r="A15" i="14"/>
  <c r="K14" i="14"/>
  <c r="I14" i="14"/>
  <c r="G14" i="14"/>
  <c r="E14" i="14"/>
  <c r="A14" i="14"/>
  <c r="K13" i="14"/>
  <c r="I13" i="14"/>
  <c r="G13" i="14"/>
  <c r="E13" i="14"/>
  <c r="A13" i="14"/>
  <c r="K12" i="14"/>
  <c r="I12" i="14"/>
  <c r="G12" i="14"/>
  <c r="E12" i="14"/>
  <c r="A12" i="14"/>
  <c r="K11" i="14"/>
  <c r="I11" i="14"/>
  <c r="G11" i="14"/>
  <c r="E11" i="14"/>
  <c r="A11" i="14"/>
  <c r="O10" i="14"/>
  <c r="M10" i="14"/>
  <c r="K10" i="14"/>
  <c r="I10" i="14"/>
  <c r="G10" i="14"/>
  <c r="E10" i="14"/>
  <c r="A10" i="14"/>
  <c r="O9" i="14"/>
  <c r="M9" i="14"/>
  <c r="K9" i="14"/>
  <c r="I9" i="14"/>
  <c r="G9" i="14"/>
  <c r="E9" i="14"/>
  <c r="A9" i="14"/>
  <c r="O8" i="14"/>
  <c r="M8" i="14"/>
  <c r="K8" i="14"/>
  <c r="I8" i="14"/>
  <c r="G8" i="14"/>
  <c r="E8" i="14"/>
  <c r="A8" i="14"/>
  <c r="O7" i="14"/>
  <c r="M7" i="14"/>
  <c r="K7" i="14"/>
  <c r="I7" i="14"/>
  <c r="G7" i="14"/>
  <c r="E7" i="14"/>
  <c r="A7" i="14"/>
  <c r="S6" i="14"/>
  <c r="Q6" i="14"/>
  <c r="O6" i="14"/>
  <c r="M6" i="14"/>
  <c r="K6" i="14"/>
  <c r="I6" i="14"/>
  <c r="G6" i="14"/>
  <c r="E6" i="14"/>
  <c r="A6" i="14"/>
  <c r="S5" i="14"/>
  <c r="Q5" i="14"/>
  <c r="O5" i="14"/>
  <c r="M5" i="14"/>
  <c r="K5" i="14"/>
  <c r="I5" i="14"/>
  <c r="G5" i="14"/>
  <c r="E5" i="14"/>
  <c r="A5" i="14"/>
  <c r="W4" i="14"/>
  <c r="S4" i="14"/>
  <c r="Q4" i="14"/>
  <c r="O4" i="14"/>
  <c r="M4" i="14"/>
  <c r="K4" i="14"/>
  <c r="I4" i="14"/>
  <c r="G4" i="14"/>
  <c r="E4" i="14"/>
  <c r="A4" i="14"/>
  <c r="W3" i="14"/>
  <c r="S3" i="14"/>
  <c r="Q3" i="14"/>
  <c r="O3" i="14"/>
  <c r="M3" i="14"/>
  <c r="K3" i="14"/>
  <c r="I3" i="14"/>
  <c r="G3" i="14"/>
  <c r="E3" i="14"/>
  <c r="A3" i="14"/>
  <c r="C12" i="14" l="1"/>
  <c r="C74" i="14"/>
  <c r="C73" i="14"/>
  <c r="C72" i="14"/>
  <c r="C71" i="14"/>
  <c r="C52" i="14"/>
  <c r="C20" i="14"/>
  <c r="C36" i="14"/>
  <c r="C70" i="14"/>
  <c r="C69" i="14"/>
  <c r="C68" i="14"/>
  <c r="C67" i="14"/>
  <c r="C4" i="14"/>
  <c r="C58" i="14"/>
  <c r="C66" i="14"/>
  <c r="C64" i="14"/>
  <c r="C62" i="14"/>
  <c r="C56" i="14"/>
  <c r="C54" i="14"/>
  <c r="C34" i="14"/>
  <c r="C32" i="14"/>
  <c r="C30" i="14"/>
  <c r="C26" i="14"/>
  <c r="C24" i="14"/>
  <c r="C22" i="14"/>
  <c r="C33" i="14"/>
  <c r="C31" i="14"/>
  <c r="C29" i="14"/>
  <c r="C27" i="14"/>
  <c r="C25" i="14"/>
  <c r="C23" i="14"/>
  <c r="C21" i="14"/>
  <c r="C19" i="14"/>
  <c r="C65" i="14"/>
  <c r="C63" i="14"/>
  <c r="C61" i="14"/>
  <c r="C59" i="14"/>
  <c r="C57" i="14"/>
  <c r="C55" i="14"/>
  <c r="C53" i="14"/>
  <c r="C51" i="14"/>
  <c r="C50" i="14"/>
  <c r="C48" i="14"/>
  <c r="C46" i="14"/>
  <c r="C44" i="14"/>
  <c r="C42" i="14"/>
  <c r="C40" i="14"/>
  <c r="C38" i="14"/>
  <c r="C49" i="14"/>
  <c r="C47" i="14"/>
  <c r="C45" i="14"/>
  <c r="C43" i="14"/>
  <c r="C41" i="14"/>
  <c r="C39" i="14"/>
  <c r="C37" i="14"/>
  <c r="C35" i="14"/>
  <c r="C18" i="14"/>
  <c r="C16" i="14"/>
  <c r="C14" i="14"/>
  <c r="C10" i="14"/>
  <c r="C8" i="14"/>
  <c r="C6" i="14"/>
  <c r="C17" i="14"/>
  <c r="C15" i="14"/>
  <c r="C13" i="14"/>
  <c r="C11" i="14"/>
  <c r="C9" i="14"/>
  <c r="C7" i="14"/>
  <c r="C5" i="14"/>
  <c r="C3" i="14"/>
  <c r="A352" i="10" l="1"/>
  <c r="B352" i="16" s="1"/>
  <c r="A351" i="10"/>
  <c r="B351" i="16" s="1"/>
  <c r="A350" i="10"/>
  <c r="B349" i="16" s="1"/>
  <c r="A349" i="10"/>
  <c r="B350" i="16" s="1"/>
  <c r="A348" i="10"/>
  <c r="B348" i="16" s="1"/>
  <c r="A347" i="10"/>
  <c r="B347" i="16" s="1"/>
  <c r="A346" i="10"/>
  <c r="B344" i="16" s="1"/>
  <c r="A345" i="10"/>
  <c r="B341" i="16" s="1"/>
  <c r="A344" i="10"/>
  <c r="B346" i="16" s="1"/>
  <c r="A343" i="10"/>
  <c r="B345" i="16" s="1"/>
  <c r="A342" i="10"/>
  <c r="B340" i="16" s="1"/>
  <c r="A341" i="10"/>
  <c r="B337" i="16" s="1"/>
  <c r="A340" i="10"/>
  <c r="B342" i="16" s="1"/>
  <c r="A339" i="10"/>
  <c r="B333" i="16" s="1"/>
  <c r="A338" i="10"/>
  <c r="B329" i="16" s="1"/>
  <c r="A337" i="10"/>
  <c r="B334" i="16" s="1"/>
  <c r="A336" i="10"/>
  <c r="B338" i="16" s="1"/>
  <c r="A335" i="10"/>
  <c r="B339" i="16" s="1"/>
  <c r="A334" i="10"/>
  <c r="B343" i="16" s="1"/>
  <c r="A333" i="10"/>
  <c r="B336" i="16" s="1"/>
  <c r="A332" i="10"/>
  <c r="B335" i="16" s="1"/>
  <c r="A331" i="10"/>
  <c r="B325" i="16" s="1"/>
  <c r="A330" i="10"/>
  <c r="B331" i="16" s="1"/>
  <c r="A329" i="10"/>
  <c r="B326" i="16" s="1"/>
  <c r="A328" i="10"/>
  <c r="B323" i="16" s="1"/>
  <c r="A327" i="10"/>
  <c r="B328" i="16" s="1"/>
  <c r="A326" i="10"/>
  <c r="B332" i="16" s="1"/>
  <c r="A325" i="10"/>
  <c r="B311" i="16" s="1"/>
  <c r="A324" i="10"/>
  <c r="B308" i="16" s="1"/>
  <c r="A323" i="10"/>
  <c r="B314" i="16" s="1"/>
  <c r="A322" i="10"/>
  <c r="B330" i="16" s="1"/>
  <c r="A321" i="10"/>
  <c r="B319" i="16" s="1"/>
  <c r="A320" i="10"/>
  <c r="B304" i="16" s="1"/>
  <c r="A319" i="10"/>
  <c r="B281" i="16" s="1"/>
  <c r="A318" i="10"/>
  <c r="B324" i="16" s="1"/>
  <c r="A317" i="10"/>
  <c r="B310" i="16" s="1"/>
  <c r="A316" i="10"/>
  <c r="B317" i="16" s="1"/>
  <c r="A315" i="10"/>
  <c r="B318" i="16" s="1"/>
  <c r="A314" i="10"/>
  <c r="B322" i="16" s="1"/>
  <c r="A313" i="10"/>
  <c r="B316" i="16" s="1"/>
  <c r="A312" i="10"/>
  <c r="B315" i="16" s="1"/>
  <c r="A311" i="10"/>
  <c r="B313" i="16" s="1"/>
  <c r="A310" i="10"/>
  <c r="B321" i="16" s="1"/>
  <c r="A309" i="10"/>
  <c r="B309" i="16" s="1"/>
  <c r="A308" i="10"/>
  <c r="B273" i="16" s="1"/>
  <c r="A307" i="10"/>
  <c r="B305" i="16" s="1"/>
  <c r="A306" i="10"/>
  <c r="B327" i="16" s="1"/>
  <c r="A305" i="10"/>
  <c r="B301" i="16" s="1"/>
  <c r="A304" i="10"/>
  <c r="B300" i="16" s="1"/>
  <c r="A303" i="10"/>
  <c r="B306" i="16" s="1"/>
  <c r="A302" i="10"/>
  <c r="B284" i="16" s="1"/>
  <c r="A301" i="10"/>
  <c r="B312" i="16" s="1"/>
  <c r="A300" i="10"/>
  <c r="B291" i="16" s="1"/>
  <c r="A299" i="10"/>
  <c r="B320" i="16" s="1"/>
  <c r="A298" i="10"/>
  <c r="B289" i="16" s="1"/>
  <c r="A297" i="10"/>
  <c r="B297" i="16" s="1"/>
  <c r="A296" i="10"/>
  <c r="B287" i="16" s="1"/>
  <c r="A295" i="10"/>
  <c r="B295" i="16" s="1"/>
  <c r="A294" i="10"/>
  <c r="B307" i="16" s="1"/>
  <c r="A293" i="10"/>
  <c r="B294" i="16" s="1"/>
  <c r="A292" i="10"/>
  <c r="B299" i="16" s="1"/>
  <c r="A291" i="10"/>
  <c r="B303" i="16" s="1"/>
  <c r="A290" i="10"/>
  <c r="B296" i="16" s="1"/>
  <c r="A289" i="10"/>
  <c r="B302" i="16" s="1"/>
  <c r="A288" i="10"/>
  <c r="B293" i="16" s="1"/>
  <c r="A287" i="10"/>
  <c r="B290" i="16" s="1"/>
  <c r="A286" i="10"/>
  <c r="B285" i="16" s="1"/>
  <c r="A285" i="10"/>
  <c r="B298" i="16" s="1"/>
  <c r="A284" i="10"/>
  <c r="B269" i="16" s="1"/>
  <c r="A283" i="10"/>
  <c r="B292" i="16" s="1"/>
  <c r="A282" i="10"/>
  <c r="B261" i="16" s="1"/>
  <c r="A281" i="10"/>
  <c r="B272" i="16" s="1"/>
  <c r="A280" i="10"/>
  <c r="B278" i="16" s="1"/>
  <c r="A279" i="10"/>
  <c r="B288" i="16" s="1"/>
  <c r="A278" i="10"/>
  <c r="B286" i="16" s="1"/>
  <c r="A277" i="10"/>
  <c r="B271" i="16" s="1"/>
  <c r="A276" i="10"/>
  <c r="B267" i="16" s="1"/>
  <c r="A275" i="10"/>
  <c r="B270" i="16" s="1"/>
  <c r="A274" i="10"/>
  <c r="B265" i="16" s="1"/>
  <c r="A273" i="10"/>
  <c r="B276" i="16" s="1"/>
  <c r="A272" i="10"/>
  <c r="B268" i="16" s="1"/>
  <c r="A271" i="10"/>
  <c r="B282" i="16" s="1"/>
  <c r="A270" i="10"/>
  <c r="B260" i="16" s="1"/>
  <c r="A269" i="10"/>
  <c r="B258" i="16" s="1"/>
  <c r="A268" i="10"/>
  <c r="B279" i="16" s="1"/>
  <c r="A267" i="10"/>
  <c r="B280" i="16" s="1"/>
  <c r="A266" i="10"/>
  <c r="B274" i="16" s="1"/>
  <c r="A265" i="10"/>
  <c r="B283" i="16" s="1"/>
  <c r="A264" i="10"/>
  <c r="B257" i="16" s="1"/>
  <c r="A263" i="10"/>
  <c r="B266" i="16" s="1"/>
  <c r="A262" i="10"/>
  <c r="B275" i="16" s="1"/>
  <c r="A261" i="10"/>
  <c r="B277" i="16" s="1"/>
  <c r="A260" i="10"/>
  <c r="B230" i="16" s="1"/>
  <c r="A259" i="10"/>
  <c r="B256" i="16" s="1"/>
  <c r="A258" i="10"/>
  <c r="B259" i="16" s="1"/>
  <c r="A257" i="10"/>
  <c r="B263" i="16" s="1"/>
  <c r="A256" i="10"/>
  <c r="B254" i="16" s="1"/>
  <c r="A255" i="10"/>
  <c r="B243" i="16" s="1"/>
  <c r="A254" i="10"/>
  <c r="B239" i="16" s="1"/>
  <c r="A253" i="10"/>
  <c r="B226" i="16" s="1"/>
  <c r="A252" i="10"/>
  <c r="B251" i="16" s="1"/>
  <c r="A251" i="10"/>
  <c r="B249" i="16" s="1"/>
  <c r="A250" i="10"/>
  <c r="B262" i="16" s="1"/>
  <c r="A249" i="10"/>
  <c r="B252" i="16" s="1"/>
  <c r="A248" i="10"/>
  <c r="B241" i="16" s="1"/>
  <c r="A247" i="10"/>
  <c r="B264" i="16" s="1"/>
  <c r="A246" i="10"/>
  <c r="B245" i="16" s="1"/>
  <c r="A245" i="10"/>
  <c r="B248" i="16" s="1"/>
  <c r="A244" i="10"/>
  <c r="B227" i="16" s="1"/>
  <c r="A243" i="10"/>
  <c r="B253" i="16" s="1"/>
  <c r="A242" i="10"/>
  <c r="B242" i="16" s="1"/>
  <c r="A241" i="10"/>
  <c r="B255" i="16" s="1"/>
  <c r="A240" i="10"/>
  <c r="B236" i="16" s="1"/>
  <c r="A239" i="10"/>
  <c r="B224" i="16" s="1"/>
  <c r="A238" i="10"/>
  <c r="B232" i="16" s="1"/>
  <c r="A237" i="10"/>
  <c r="B246" i="16" s="1"/>
  <c r="A236" i="10"/>
  <c r="B240" i="16" s="1"/>
  <c r="A235" i="10"/>
  <c r="B244" i="16" s="1"/>
  <c r="A234" i="10"/>
  <c r="B210" i="16" s="1"/>
  <c r="A233" i="10"/>
  <c r="B247" i="16" s="1"/>
  <c r="A232" i="10"/>
  <c r="B212" i="16" s="1"/>
  <c r="A231" i="10"/>
  <c r="B216" i="16" s="1"/>
  <c r="A230" i="10"/>
  <c r="B250" i="16" s="1"/>
  <c r="A229" i="10"/>
  <c r="B235" i="16" s="1"/>
  <c r="A228" i="10"/>
  <c r="B220" i="16" s="1"/>
  <c r="A227" i="10"/>
  <c r="B228" i="16" s="1"/>
  <c r="A226" i="10"/>
  <c r="B229" i="16" s="1"/>
  <c r="A225" i="10"/>
  <c r="B203" i="16" s="1"/>
  <c r="A224" i="10"/>
  <c r="B234" i="16" s="1"/>
  <c r="A223" i="10"/>
  <c r="B231" i="16" s="1"/>
  <c r="A222" i="10"/>
  <c r="B237" i="16" s="1"/>
  <c r="A221" i="10"/>
  <c r="B222" i="16" s="1"/>
  <c r="A220" i="10"/>
  <c r="B238" i="16" s="1"/>
  <c r="A219" i="10"/>
  <c r="B233" i="16" s="1"/>
  <c r="A218" i="10"/>
  <c r="B214" i="16" s="1"/>
  <c r="A217" i="10"/>
  <c r="B215" i="16" s="1"/>
  <c r="A216" i="10"/>
  <c r="B206" i="16" s="1"/>
  <c r="A215" i="10"/>
  <c r="B211" i="16" s="1"/>
  <c r="A214" i="10"/>
  <c r="B225" i="16" s="1"/>
  <c r="A213" i="10"/>
  <c r="B221" i="16" s="1"/>
  <c r="A212" i="10"/>
  <c r="B179" i="16" s="1"/>
  <c r="A211" i="10"/>
  <c r="B202" i="16" s="1"/>
  <c r="A210" i="10"/>
  <c r="B195" i="16" s="1"/>
  <c r="A209" i="10"/>
  <c r="B207" i="16" s="1"/>
  <c r="A208" i="10"/>
  <c r="B204" i="16" s="1"/>
  <c r="A207" i="10"/>
  <c r="B208" i="16" s="1"/>
  <c r="A206" i="10"/>
  <c r="B197" i="16" s="1"/>
  <c r="A205" i="10"/>
  <c r="B191" i="16" s="1"/>
  <c r="A204" i="10"/>
  <c r="B213" i="16" s="1"/>
  <c r="A203" i="10"/>
  <c r="B205" i="16" s="1"/>
  <c r="A202" i="10"/>
  <c r="B217" i="16" s="1"/>
  <c r="A201" i="10"/>
  <c r="B219" i="16" s="1"/>
  <c r="A200" i="10"/>
  <c r="B198" i="16" s="1"/>
  <c r="A199" i="10"/>
  <c r="B182" i="16" s="1"/>
  <c r="A198" i="10"/>
  <c r="B218" i="16" s="1"/>
  <c r="A197" i="10"/>
  <c r="B223" i="16" s="1"/>
  <c r="A196" i="10"/>
  <c r="B175" i="16" s="1"/>
  <c r="A195" i="10"/>
  <c r="B209" i="16" s="1"/>
  <c r="A194" i="10"/>
  <c r="B200" i="16" s="1"/>
  <c r="A193" i="10"/>
  <c r="B199" i="16" s="1"/>
  <c r="A192" i="10"/>
  <c r="B194" i="16" s="1"/>
  <c r="A191" i="10"/>
  <c r="B180" i="16" s="1"/>
  <c r="A190" i="10"/>
  <c r="B201" i="16" s="1"/>
  <c r="A189" i="10"/>
  <c r="B183" i="16" s="1"/>
  <c r="A188" i="10"/>
  <c r="B185" i="16" s="1"/>
  <c r="A187" i="10"/>
  <c r="B186" i="16" s="1"/>
  <c r="A186" i="10"/>
  <c r="B192" i="16" s="1"/>
  <c r="A185" i="10"/>
  <c r="B184" i="16" s="1"/>
  <c r="A184" i="10"/>
  <c r="B196" i="16" s="1"/>
  <c r="A183" i="10"/>
  <c r="B193" i="16" s="1"/>
  <c r="A182" i="10"/>
  <c r="B173" i="16" s="1"/>
  <c r="A181" i="10"/>
  <c r="B167" i="16" s="1"/>
  <c r="A180" i="10"/>
  <c r="B168" i="16" s="1"/>
  <c r="A179" i="10"/>
  <c r="B181" i="16" s="1"/>
  <c r="A178" i="10"/>
  <c r="B176" i="16" s="1"/>
  <c r="A177" i="10"/>
  <c r="B154" i="16" s="1"/>
  <c r="A176" i="10"/>
  <c r="B160" i="16" s="1"/>
  <c r="A175" i="10"/>
  <c r="B171" i="16" s="1"/>
  <c r="A174" i="10"/>
  <c r="B147" i="16" s="1"/>
  <c r="A173" i="10"/>
  <c r="B178" i="16" s="1"/>
  <c r="A172" i="10"/>
  <c r="B166" i="16" s="1"/>
  <c r="A171" i="10"/>
  <c r="B190" i="16" s="1"/>
  <c r="A170" i="10"/>
  <c r="B174" i="16" s="1"/>
  <c r="A169" i="10"/>
  <c r="B169" i="16" s="1"/>
  <c r="A168" i="10"/>
  <c r="B187" i="16" s="1"/>
  <c r="A167" i="10"/>
  <c r="B188" i="16" s="1"/>
  <c r="A166" i="10"/>
  <c r="B172" i="16" s="1"/>
  <c r="A165" i="10"/>
  <c r="B170" i="16" s="1"/>
  <c r="A164" i="10"/>
  <c r="B141" i="16" s="1"/>
  <c r="A163" i="10"/>
  <c r="B189" i="16" s="1"/>
  <c r="A162" i="10"/>
  <c r="B162" i="16" s="1"/>
  <c r="A161" i="10"/>
  <c r="B177" i="16" s="1"/>
  <c r="A160" i="10"/>
  <c r="B149" i="16" s="1"/>
  <c r="A159" i="10"/>
  <c r="B158" i="16" s="1"/>
  <c r="A158" i="10"/>
  <c r="B165" i="16" s="1"/>
  <c r="A157" i="10"/>
  <c r="B156" i="16" s="1"/>
  <c r="A156" i="10"/>
  <c r="B164" i="16" s="1"/>
  <c r="A155" i="10"/>
  <c r="B155" i="16" s="1"/>
  <c r="A154" i="10"/>
  <c r="B163" i="16" s="1"/>
  <c r="A153" i="10"/>
  <c r="B153" i="16" s="1"/>
  <c r="A152" i="10"/>
  <c r="B130" i="16" s="1"/>
  <c r="A151" i="10"/>
  <c r="B146" i="16" s="1"/>
  <c r="A150" i="10"/>
  <c r="B159" i="16" s="1"/>
  <c r="A149" i="10"/>
  <c r="B152" i="16" s="1"/>
  <c r="A148" i="10"/>
  <c r="B157" i="16" s="1"/>
  <c r="A147" i="10"/>
  <c r="B142" i="16" s="1"/>
  <c r="A146" i="10"/>
  <c r="B126" i="16" s="1"/>
  <c r="A145" i="10"/>
  <c r="B145" i="16" s="1"/>
  <c r="A144" i="10"/>
  <c r="B121" i="16" s="1"/>
  <c r="A143" i="10"/>
  <c r="B124" i="16" s="1"/>
  <c r="A142" i="10"/>
  <c r="B138" i="16" s="1"/>
  <c r="A141" i="10"/>
  <c r="B136" i="16" s="1"/>
  <c r="A140" i="10"/>
  <c r="B137" i="16" s="1"/>
  <c r="A139" i="10"/>
  <c r="B148" i="16" s="1"/>
  <c r="A138" i="10"/>
  <c r="B93" i="16" s="1"/>
  <c r="A137" i="10"/>
  <c r="B120" i="16" s="1"/>
  <c r="A136" i="10"/>
  <c r="B150" i="16" s="1"/>
  <c r="A135" i="10"/>
  <c r="B140" i="16" s="1"/>
  <c r="A134" i="10"/>
  <c r="B134" i="16" s="1"/>
  <c r="A133" i="10"/>
  <c r="B133" i="16" s="1"/>
  <c r="A132" i="10"/>
  <c r="B144" i="16" s="1"/>
  <c r="A131" i="10"/>
  <c r="B161" i="16" s="1"/>
  <c r="A130" i="10"/>
  <c r="B135" i="16" s="1"/>
  <c r="A129" i="10"/>
  <c r="B122" i="16" s="1"/>
  <c r="A128" i="10"/>
  <c r="B143" i="16" s="1"/>
  <c r="A127" i="10"/>
  <c r="B151" i="16" s="1"/>
  <c r="A126" i="10"/>
  <c r="B132" i="16" s="1"/>
  <c r="A125" i="10"/>
  <c r="B109" i="16" s="1"/>
  <c r="A124" i="10"/>
  <c r="B131" i="16" s="1"/>
  <c r="A123" i="10"/>
  <c r="B112" i="16" s="1"/>
  <c r="A122" i="10"/>
  <c r="B115" i="16" s="1"/>
  <c r="A121" i="10"/>
  <c r="B139" i="16" s="1"/>
  <c r="A120" i="10"/>
  <c r="B128" i="16" s="1"/>
  <c r="A119" i="10"/>
  <c r="B125" i="16" s="1"/>
  <c r="A118" i="10"/>
  <c r="B113" i="16" s="1"/>
  <c r="A117" i="10"/>
  <c r="B116" i="16" s="1"/>
  <c r="A116" i="10"/>
  <c r="B114" i="16" s="1"/>
  <c r="A115" i="10"/>
  <c r="B129" i="16" s="1"/>
  <c r="A114" i="10"/>
  <c r="B123" i="16" s="1"/>
  <c r="A113" i="10"/>
  <c r="B117" i="16" s="1"/>
  <c r="A112" i="10"/>
  <c r="B76" i="16" s="1"/>
  <c r="A111" i="10"/>
  <c r="B97" i="16" s="1"/>
  <c r="A110" i="10"/>
  <c r="B106" i="16" s="1"/>
  <c r="A109" i="10"/>
  <c r="B119" i="16" s="1"/>
  <c r="A108" i="10"/>
  <c r="B111" i="16" s="1"/>
  <c r="A107" i="10"/>
  <c r="B107" i="16" s="1"/>
  <c r="A106" i="10"/>
  <c r="B108" i="16" s="1"/>
  <c r="A105" i="10"/>
  <c r="B127" i="16" s="1"/>
  <c r="A104" i="10"/>
  <c r="B110" i="16" s="1"/>
  <c r="A103" i="10"/>
  <c r="B118" i="16" s="1"/>
  <c r="A102" i="10"/>
  <c r="B87" i="16" s="1"/>
  <c r="A101" i="10"/>
  <c r="B104" i="16" s="1"/>
  <c r="A100" i="10"/>
  <c r="B73" i="16" s="1"/>
  <c r="A99" i="10"/>
  <c r="B99" i="16" s="1"/>
  <c r="A98" i="10"/>
  <c r="B96" i="16" s="1"/>
  <c r="A97" i="10"/>
  <c r="B91" i="16" s="1"/>
  <c r="A96" i="10"/>
  <c r="B105" i="16" s="1"/>
  <c r="A95" i="10"/>
  <c r="B78" i="16" s="1"/>
  <c r="A94" i="10"/>
  <c r="B90" i="16" s="1"/>
  <c r="A93" i="10"/>
  <c r="B92" i="16" s="1"/>
  <c r="A92" i="10"/>
  <c r="B94" i="16" s="1"/>
  <c r="A91" i="10"/>
  <c r="B100" i="16" s="1"/>
  <c r="A90" i="10"/>
  <c r="B79" i="16" s="1"/>
  <c r="A89" i="10"/>
  <c r="B85" i="16" s="1"/>
  <c r="A88" i="10"/>
  <c r="B80" i="16" s="1"/>
  <c r="A87" i="10"/>
  <c r="B88" i="16" s="1"/>
  <c r="A86" i="10"/>
  <c r="B84" i="16" s="1"/>
  <c r="A85" i="10"/>
  <c r="B72" i="16" s="1"/>
  <c r="A84" i="10"/>
  <c r="B74" i="16" s="1"/>
  <c r="A83" i="10"/>
  <c r="B82" i="16" s="1"/>
  <c r="A82" i="10"/>
  <c r="B95" i="16" s="1"/>
  <c r="A81" i="10"/>
  <c r="B66" i="16" s="1"/>
  <c r="A80" i="10"/>
  <c r="B102" i="16" s="1"/>
  <c r="A79" i="10"/>
  <c r="B103" i="16" s="1"/>
  <c r="A78" i="10"/>
  <c r="B89" i="16" s="1"/>
  <c r="A77" i="10"/>
  <c r="B98" i="16" s="1"/>
  <c r="A76" i="10"/>
  <c r="B101" i="16" s="1"/>
  <c r="A75" i="10"/>
  <c r="B60" i="16" s="1"/>
  <c r="A74" i="10"/>
  <c r="B62" i="16" s="1"/>
  <c r="A73" i="10"/>
  <c r="B70" i="16" s="1"/>
  <c r="A72" i="10"/>
  <c r="B83" i="16" s="1"/>
  <c r="A71" i="10"/>
  <c r="B71" i="16" s="1"/>
  <c r="A70" i="10"/>
  <c r="B86" i="16" s="1"/>
  <c r="A69" i="10"/>
  <c r="B69" i="16" s="1"/>
  <c r="A68" i="10"/>
  <c r="B75" i="16" s="1"/>
  <c r="A67" i="10"/>
  <c r="B68" i="16" s="1"/>
  <c r="A66" i="10"/>
  <c r="B59" i="16" s="1"/>
  <c r="A65" i="10"/>
  <c r="B49" i="16" s="1"/>
  <c r="A64" i="10"/>
  <c r="B81" i="16" s="1"/>
  <c r="A63" i="10"/>
  <c r="B58" i="16" s="1"/>
  <c r="A62" i="10"/>
  <c r="B67" i="16" s="1"/>
  <c r="A61" i="10"/>
  <c r="B63" i="16" s="1"/>
  <c r="A60" i="10"/>
  <c r="B57" i="16" s="1"/>
  <c r="A59" i="10"/>
  <c r="B56" i="16" s="1"/>
  <c r="A58" i="10"/>
  <c r="B53" i="16" s="1"/>
  <c r="A57" i="10"/>
  <c r="B50" i="16" s="1"/>
  <c r="A56" i="10"/>
  <c r="B48" i="16" s="1"/>
  <c r="A55" i="10"/>
  <c r="B77" i="16" s="1"/>
  <c r="A54" i="10"/>
  <c r="B65" i="16" s="1"/>
  <c r="A53" i="10"/>
  <c r="B46" i="16" s="1"/>
  <c r="A52" i="10"/>
  <c r="B55" i="16" s="1"/>
  <c r="A51" i="10"/>
  <c r="B54" i="16" s="1"/>
  <c r="A50" i="10"/>
  <c r="B47" i="16" s="1"/>
  <c r="A49" i="10"/>
  <c r="B52" i="16" s="1"/>
  <c r="A48" i="10"/>
  <c r="B39" i="16" s="1"/>
  <c r="A47" i="10"/>
  <c r="B43" i="16" s="1"/>
  <c r="A46" i="10"/>
  <c r="B51" i="16" s="1"/>
  <c r="A45" i="10"/>
  <c r="B44" i="16" s="1"/>
  <c r="A44" i="10"/>
  <c r="B37" i="16" s="1"/>
  <c r="A43" i="10"/>
  <c r="B40" i="16" s="1"/>
  <c r="A42" i="10"/>
  <c r="B64" i="16" s="1"/>
  <c r="A41" i="10"/>
  <c r="B61" i="16" s="1"/>
  <c r="A40" i="10"/>
  <c r="B33" i="16" s="1"/>
  <c r="A39" i="10"/>
  <c r="B36" i="16" s="1"/>
  <c r="A38" i="10"/>
  <c r="B45" i="16" s="1"/>
  <c r="A37" i="10"/>
  <c r="B31" i="16" s="1"/>
  <c r="A36" i="10"/>
  <c r="B41" i="16" s="1"/>
  <c r="A35" i="10"/>
  <c r="B34" i="16" s="1"/>
  <c r="A34" i="10"/>
  <c r="B27" i="16" s="1"/>
  <c r="A33" i="10"/>
  <c r="B16" i="16" s="1"/>
  <c r="A32" i="10"/>
  <c r="B42" i="16" s="1"/>
  <c r="A31" i="10"/>
  <c r="B32" i="16" s="1"/>
  <c r="A30" i="10"/>
  <c r="B35" i="16" s="1"/>
  <c r="A29" i="10"/>
  <c r="B30" i="16" s="1"/>
  <c r="A28" i="10"/>
  <c r="B21" i="16" s="1"/>
  <c r="A27" i="10"/>
  <c r="B38" i="16" s="1"/>
  <c r="A26" i="10"/>
  <c r="B23" i="16" s="1"/>
  <c r="A25" i="10"/>
  <c r="B26" i="16" s="1"/>
  <c r="A24" i="10"/>
  <c r="B29" i="16" s="1"/>
  <c r="A23" i="10"/>
  <c r="B24" i="16" s="1"/>
  <c r="A22" i="10"/>
  <c r="B19" i="16" s="1"/>
  <c r="A21" i="10"/>
  <c r="B10" i="16" s="1"/>
  <c r="A20" i="10"/>
  <c r="B22" i="16" s="1"/>
  <c r="A19" i="10"/>
  <c r="B18" i="16" s="1"/>
  <c r="A18" i="10"/>
  <c r="B12" i="16" s="1"/>
  <c r="A17" i="10"/>
  <c r="B11" i="16" s="1"/>
  <c r="A16" i="10"/>
  <c r="B15" i="16" s="1"/>
  <c r="A15" i="10"/>
  <c r="B28" i="16" s="1"/>
  <c r="A14" i="10"/>
  <c r="B13" i="16" s="1"/>
  <c r="A13" i="10"/>
  <c r="B25" i="16" s="1"/>
  <c r="A12" i="10"/>
  <c r="B8" i="16" s="1"/>
  <c r="A11" i="10"/>
  <c r="B5" i="16" s="1"/>
  <c r="A10" i="10"/>
  <c r="B17" i="16" s="1"/>
  <c r="A9" i="10"/>
  <c r="B14" i="16" s="1"/>
  <c r="A8" i="10"/>
  <c r="B20" i="16" s="1"/>
  <c r="A7" i="10"/>
  <c r="B9" i="16" s="1"/>
  <c r="A6" i="10"/>
  <c r="B2" i="16" s="1"/>
  <c r="A5" i="10"/>
  <c r="B3" i="16" s="1"/>
  <c r="J4" i="10"/>
  <c r="A4" i="10"/>
  <c r="B4" i="16" s="1"/>
  <c r="J3" i="10"/>
  <c r="A3" i="10"/>
  <c r="B6" i="16" s="1"/>
  <c r="K2" i="10"/>
  <c r="J2" i="10"/>
  <c r="A2" i="10"/>
  <c r="B7" i="16" s="1"/>
  <c r="I352" i="9"/>
  <c r="H352" i="9"/>
  <c r="I351" i="9"/>
  <c r="H351" i="9"/>
  <c r="I350" i="9"/>
  <c r="H350" i="9"/>
  <c r="I349" i="9"/>
  <c r="H349" i="9"/>
  <c r="I348" i="9"/>
  <c r="H348" i="9"/>
  <c r="I347" i="9"/>
  <c r="H347" i="9"/>
  <c r="I346" i="9"/>
  <c r="H346" i="9"/>
  <c r="I345" i="9"/>
  <c r="H345" i="9"/>
  <c r="I344" i="9"/>
  <c r="H344" i="9"/>
  <c r="I343" i="9"/>
  <c r="H343" i="9"/>
  <c r="I342" i="9"/>
  <c r="H342" i="9"/>
  <c r="I341" i="9"/>
  <c r="H341" i="9"/>
  <c r="I340" i="9"/>
  <c r="H340" i="9"/>
  <c r="I339" i="9"/>
  <c r="H339" i="9"/>
  <c r="I338" i="9"/>
  <c r="H338" i="9"/>
  <c r="I337" i="9"/>
  <c r="H337" i="9"/>
  <c r="I336" i="9"/>
  <c r="H336" i="9"/>
  <c r="I335" i="9"/>
  <c r="H335" i="9"/>
  <c r="I334" i="9"/>
  <c r="H334" i="9"/>
  <c r="I333" i="9"/>
  <c r="H333" i="9"/>
  <c r="I332" i="9"/>
  <c r="H332" i="9"/>
  <c r="I331" i="9"/>
  <c r="H331" i="9"/>
  <c r="I330" i="9"/>
  <c r="H330" i="9"/>
  <c r="I329" i="9"/>
  <c r="H329" i="9"/>
  <c r="I328" i="9"/>
  <c r="H328" i="9"/>
  <c r="I327" i="9"/>
  <c r="H327" i="9"/>
  <c r="I326" i="9"/>
  <c r="H326" i="9"/>
  <c r="I325" i="9"/>
  <c r="H325" i="9"/>
  <c r="I324" i="9"/>
  <c r="H324" i="9"/>
  <c r="I323" i="9"/>
  <c r="H323" i="9"/>
  <c r="I322" i="9"/>
  <c r="H322" i="9"/>
  <c r="I321" i="9"/>
  <c r="H321" i="9"/>
  <c r="I320" i="9"/>
  <c r="H320" i="9"/>
  <c r="I319" i="9"/>
  <c r="H319" i="9"/>
  <c r="I318" i="9"/>
  <c r="H318" i="9"/>
  <c r="I317" i="9"/>
  <c r="H317" i="9"/>
  <c r="I316" i="9"/>
  <c r="H316" i="9"/>
  <c r="I315" i="9"/>
  <c r="H315" i="9"/>
  <c r="I314" i="9"/>
  <c r="H314" i="9"/>
  <c r="I313" i="9"/>
  <c r="H313" i="9"/>
  <c r="I312" i="9"/>
  <c r="H312" i="9"/>
  <c r="I311" i="9"/>
  <c r="H311" i="9"/>
  <c r="I310" i="9"/>
  <c r="H310" i="9"/>
  <c r="I309" i="9"/>
  <c r="H309" i="9"/>
  <c r="I308" i="9"/>
  <c r="H308" i="9"/>
  <c r="I307" i="9"/>
  <c r="H307" i="9"/>
  <c r="I306" i="9"/>
  <c r="H306" i="9"/>
  <c r="I305" i="9"/>
  <c r="H305" i="9"/>
  <c r="I304" i="9"/>
  <c r="H304" i="9"/>
  <c r="I303" i="9"/>
  <c r="H303" i="9"/>
  <c r="I302" i="9"/>
  <c r="H302" i="9"/>
  <c r="I301" i="9"/>
  <c r="H301" i="9"/>
  <c r="I300" i="9"/>
  <c r="H300" i="9"/>
  <c r="I299" i="9"/>
  <c r="H299" i="9"/>
  <c r="I298" i="9"/>
  <c r="H298" i="9"/>
  <c r="I297" i="9"/>
  <c r="H297" i="9"/>
  <c r="I296" i="9"/>
  <c r="H296" i="9"/>
  <c r="I295" i="9"/>
  <c r="H295" i="9"/>
  <c r="I294" i="9"/>
  <c r="H294" i="9"/>
  <c r="I293" i="9"/>
  <c r="H293" i="9"/>
  <c r="I292" i="9"/>
  <c r="H292" i="9"/>
  <c r="I291" i="9"/>
  <c r="H291" i="9"/>
  <c r="I290" i="9"/>
  <c r="H290" i="9"/>
  <c r="I289" i="9"/>
  <c r="H289" i="9"/>
  <c r="I288" i="9"/>
  <c r="H288" i="9"/>
  <c r="I287" i="9"/>
  <c r="H287" i="9"/>
  <c r="I286" i="9"/>
  <c r="H286" i="9"/>
  <c r="I285" i="9"/>
  <c r="H285" i="9"/>
  <c r="I284" i="9"/>
  <c r="H284" i="9"/>
  <c r="I283" i="9"/>
  <c r="H283" i="9"/>
  <c r="I282" i="9"/>
  <c r="H282" i="9"/>
  <c r="I281" i="9"/>
  <c r="H281" i="9"/>
  <c r="I280" i="9"/>
  <c r="H280" i="9"/>
  <c r="I279" i="9"/>
  <c r="H279" i="9"/>
  <c r="I278" i="9"/>
  <c r="H278" i="9"/>
  <c r="I277" i="9"/>
  <c r="H277" i="9"/>
  <c r="I276" i="9"/>
  <c r="H276" i="9"/>
  <c r="I275" i="9"/>
  <c r="H275" i="9"/>
  <c r="I274" i="9"/>
  <c r="H274" i="9"/>
  <c r="I273" i="9"/>
  <c r="H273" i="9"/>
  <c r="I272" i="9"/>
  <c r="H272" i="9"/>
  <c r="I271" i="9"/>
  <c r="H271" i="9"/>
  <c r="I270" i="9"/>
  <c r="H270" i="9"/>
  <c r="I269" i="9"/>
  <c r="H269" i="9"/>
  <c r="I268" i="9"/>
  <c r="H268" i="9"/>
  <c r="I267" i="9"/>
  <c r="H267" i="9"/>
  <c r="I266" i="9"/>
  <c r="H266" i="9"/>
  <c r="I265" i="9"/>
  <c r="H265" i="9"/>
  <c r="I264" i="9"/>
  <c r="H264" i="9"/>
  <c r="I263" i="9"/>
  <c r="H263" i="9"/>
  <c r="I262" i="9"/>
  <c r="H262" i="9"/>
  <c r="I261" i="9"/>
  <c r="H261" i="9"/>
  <c r="I260" i="9"/>
  <c r="H260" i="9"/>
  <c r="I259" i="9"/>
  <c r="H259" i="9"/>
  <c r="I258" i="9"/>
  <c r="H258" i="9"/>
  <c r="I257" i="9"/>
  <c r="H257" i="9"/>
  <c r="I256" i="9"/>
  <c r="H256" i="9"/>
  <c r="I255" i="9"/>
  <c r="H255" i="9"/>
  <c r="I254" i="9"/>
  <c r="H254" i="9"/>
  <c r="I253" i="9"/>
  <c r="H253" i="9"/>
  <c r="I252" i="9"/>
  <c r="H252" i="9"/>
  <c r="I251" i="9"/>
  <c r="H251" i="9"/>
  <c r="I250" i="9"/>
  <c r="H250" i="9"/>
  <c r="I249" i="9"/>
  <c r="H249" i="9"/>
  <c r="I248" i="9"/>
  <c r="H248" i="9"/>
  <c r="I247" i="9"/>
  <c r="H247" i="9"/>
  <c r="I246" i="9"/>
  <c r="H246" i="9"/>
  <c r="I245" i="9"/>
  <c r="H245" i="9"/>
  <c r="I244" i="9"/>
  <c r="H244" i="9"/>
  <c r="I243" i="9"/>
  <c r="H243" i="9"/>
  <c r="I242" i="9"/>
  <c r="H242" i="9"/>
  <c r="I241" i="9"/>
  <c r="H241" i="9"/>
  <c r="I240" i="9"/>
  <c r="H240" i="9"/>
  <c r="I239" i="9"/>
  <c r="H239" i="9"/>
  <c r="I238" i="9"/>
  <c r="H238" i="9"/>
  <c r="I237" i="9"/>
  <c r="H237" i="9"/>
  <c r="I236" i="9"/>
  <c r="H236" i="9"/>
  <c r="I235" i="9"/>
  <c r="H235" i="9"/>
  <c r="I234" i="9"/>
  <c r="H234" i="9"/>
  <c r="I233" i="9"/>
  <c r="H233" i="9"/>
  <c r="I232" i="9"/>
  <c r="H232" i="9"/>
  <c r="I231" i="9"/>
  <c r="H231" i="9"/>
  <c r="I230" i="9"/>
  <c r="H230" i="9"/>
  <c r="I229" i="9"/>
  <c r="H229" i="9"/>
  <c r="I228" i="9"/>
  <c r="H228" i="9"/>
  <c r="I227" i="9"/>
  <c r="H227" i="9"/>
  <c r="I226" i="9"/>
  <c r="H226" i="9"/>
  <c r="I225" i="9"/>
  <c r="H225" i="9"/>
  <c r="I224" i="9"/>
  <c r="H224" i="9"/>
  <c r="I223" i="9"/>
  <c r="H223" i="9"/>
  <c r="I222" i="9"/>
  <c r="H222" i="9"/>
  <c r="I221" i="9"/>
  <c r="H221" i="9"/>
  <c r="I220" i="9"/>
  <c r="H220" i="9"/>
  <c r="I219" i="9"/>
  <c r="H219" i="9"/>
  <c r="I218" i="9"/>
  <c r="H218" i="9"/>
  <c r="I217" i="9"/>
  <c r="H217" i="9"/>
  <c r="I216" i="9"/>
  <c r="H216" i="9"/>
  <c r="I215" i="9"/>
  <c r="H215" i="9"/>
  <c r="I214" i="9"/>
  <c r="H214" i="9"/>
  <c r="I213" i="9"/>
  <c r="H213" i="9"/>
  <c r="I212" i="9"/>
  <c r="H212" i="9"/>
  <c r="I211" i="9"/>
  <c r="H211" i="9"/>
  <c r="I210" i="9"/>
  <c r="H210" i="9"/>
  <c r="I209" i="9"/>
  <c r="H209" i="9"/>
  <c r="I208" i="9"/>
  <c r="H208" i="9"/>
  <c r="I207" i="9"/>
  <c r="H207" i="9"/>
  <c r="I206" i="9"/>
  <c r="H206" i="9"/>
  <c r="I205" i="9"/>
  <c r="H205" i="9"/>
  <c r="I204" i="9"/>
  <c r="H204" i="9"/>
  <c r="I203" i="9"/>
  <c r="H203" i="9"/>
  <c r="I202" i="9"/>
  <c r="H202" i="9"/>
  <c r="I201" i="9"/>
  <c r="H201" i="9"/>
  <c r="I200" i="9"/>
  <c r="H200" i="9"/>
  <c r="I199" i="9"/>
  <c r="H199" i="9"/>
  <c r="I198" i="9"/>
  <c r="H198" i="9"/>
  <c r="I197" i="9"/>
  <c r="H197" i="9"/>
  <c r="I196" i="9"/>
  <c r="H196" i="9"/>
  <c r="I195" i="9"/>
  <c r="H195" i="9"/>
  <c r="I194" i="9"/>
  <c r="H194" i="9"/>
  <c r="I193" i="9"/>
  <c r="H193" i="9"/>
  <c r="I192" i="9"/>
  <c r="H192" i="9"/>
  <c r="I191" i="9"/>
  <c r="H191" i="9"/>
  <c r="I190" i="9"/>
  <c r="H190" i="9"/>
  <c r="I189" i="9"/>
  <c r="H189" i="9"/>
  <c r="I188" i="9"/>
  <c r="H188" i="9"/>
  <c r="I187" i="9"/>
  <c r="H187" i="9"/>
  <c r="I186" i="9"/>
  <c r="H186" i="9"/>
  <c r="I185" i="9"/>
  <c r="H185" i="9"/>
  <c r="I184" i="9"/>
  <c r="H184" i="9"/>
  <c r="I183" i="9"/>
  <c r="H183" i="9"/>
  <c r="I182" i="9"/>
  <c r="H182" i="9"/>
  <c r="I181" i="9"/>
  <c r="H181" i="9"/>
  <c r="I180" i="9"/>
  <c r="H180" i="9"/>
  <c r="I179" i="9"/>
  <c r="H179" i="9"/>
  <c r="I178" i="9"/>
  <c r="H178" i="9"/>
  <c r="I177" i="9"/>
  <c r="H177" i="9"/>
  <c r="I176" i="9"/>
  <c r="H176" i="9"/>
  <c r="I175" i="9"/>
  <c r="H175" i="9"/>
  <c r="I174" i="9"/>
  <c r="H174" i="9"/>
  <c r="I173" i="9"/>
  <c r="H173" i="9"/>
  <c r="I172" i="9"/>
  <c r="H172" i="9"/>
  <c r="I171" i="9"/>
  <c r="H171" i="9"/>
  <c r="I170" i="9"/>
  <c r="H170" i="9"/>
  <c r="I169" i="9"/>
  <c r="H169" i="9"/>
  <c r="I168" i="9"/>
  <c r="H168" i="9"/>
  <c r="I167" i="9"/>
  <c r="H167" i="9"/>
  <c r="I166" i="9"/>
  <c r="H166" i="9"/>
  <c r="I165" i="9"/>
  <c r="H165" i="9"/>
  <c r="I164" i="9"/>
  <c r="H164" i="9"/>
  <c r="I163" i="9"/>
  <c r="H163" i="9"/>
  <c r="I162" i="9"/>
  <c r="H162" i="9"/>
  <c r="I161" i="9"/>
  <c r="H161" i="9"/>
  <c r="I160" i="9"/>
  <c r="H160" i="9"/>
  <c r="I159" i="9"/>
  <c r="H159" i="9"/>
  <c r="I158" i="9"/>
  <c r="H158" i="9"/>
  <c r="I157" i="9"/>
  <c r="H157" i="9"/>
  <c r="I156" i="9"/>
  <c r="H156" i="9"/>
  <c r="I155" i="9"/>
  <c r="H155" i="9"/>
  <c r="I154" i="9"/>
  <c r="H154" i="9"/>
  <c r="I153" i="9"/>
  <c r="H153" i="9"/>
  <c r="I152" i="9"/>
  <c r="H152" i="9"/>
  <c r="I151" i="9"/>
  <c r="H151" i="9"/>
  <c r="I150" i="9"/>
  <c r="H150" i="9"/>
  <c r="I149" i="9"/>
  <c r="H149" i="9"/>
  <c r="I148" i="9"/>
  <c r="H148" i="9"/>
  <c r="I147" i="9"/>
  <c r="H147" i="9"/>
  <c r="I146" i="9"/>
  <c r="H146" i="9"/>
  <c r="I145" i="9"/>
  <c r="H145" i="9"/>
  <c r="I144" i="9"/>
  <c r="H144" i="9"/>
  <c r="I143" i="9"/>
  <c r="H143" i="9"/>
  <c r="I142" i="9"/>
  <c r="H142" i="9"/>
  <c r="I141" i="9"/>
  <c r="H141" i="9"/>
  <c r="I140" i="9"/>
  <c r="H140" i="9"/>
  <c r="I139" i="9"/>
  <c r="H139" i="9"/>
  <c r="I138" i="9"/>
  <c r="H138" i="9"/>
  <c r="I137" i="9"/>
  <c r="H137" i="9"/>
  <c r="I136" i="9"/>
  <c r="H136" i="9"/>
  <c r="I135" i="9"/>
  <c r="H135" i="9"/>
  <c r="I134" i="9"/>
  <c r="H134" i="9"/>
  <c r="I133" i="9"/>
  <c r="H133" i="9"/>
  <c r="I132" i="9"/>
  <c r="H132" i="9"/>
  <c r="I131" i="9"/>
  <c r="H131" i="9"/>
  <c r="I130" i="9"/>
  <c r="H130" i="9"/>
  <c r="I129" i="9"/>
  <c r="H129" i="9"/>
  <c r="I128" i="9"/>
  <c r="H128" i="9"/>
  <c r="I127" i="9"/>
  <c r="H127" i="9"/>
  <c r="I126" i="9"/>
  <c r="H126" i="9"/>
  <c r="I125" i="9"/>
  <c r="H125" i="9"/>
  <c r="I124" i="9"/>
  <c r="H124" i="9"/>
  <c r="I123" i="9"/>
  <c r="H123" i="9"/>
  <c r="I122" i="9"/>
  <c r="H122" i="9"/>
  <c r="I121" i="9"/>
  <c r="H121" i="9"/>
  <c r="I120" i="9"/>
  <c r="H120" i="9"/>
  <c r="I119" i="9"/>
  <c r="H119" i="9"/>
  <c r="I118" i="9"/>
  <c r="H118" i="9"/>
  <c r="I117" i="9"/>
  <c r="H117" i="9"/>
  <c r="I116" i="9"/>
  <c r="H116" i="9"/>
  <c r="I115" i="9"/>
  <c r="H115" i="9"/>
  <c r="I114" i="9"/>
  <c r="H114" i="9"/>
  <c r="I113" i="9"/>
  <c r="H113" i="9"/>
  <c r="I112" i="9"/>
  <c r="H112" i="9"/>
  <c r="I111" i="9"/>
  <c r="H111" i="9"/>
  <c r="I110" i="9"/>
  <c r="H110" i="9"/>
  <c r="I109" i="9"/>
  <c r="H109" i="9"/>
  <c r="I108" i="9"/>
  <c r="H108" i="9"/>
  <c r="I107" i="9"/>
  <c r="H107" i="9"/>
  <c r="I106" i="9"/>
  <c r="H106" i="9"/>
  <c r="I105" i="9"/>
  <c r="H105" i="9"/>
  <c r="I104" i="9"/>
  <c r="H104" i="9"/>
  <c r="I103" i="9"/>
  <c r="H103" i="9"/>
  <c r="I102" i="9"/>
  <c r="H102" i="9"/>
  <c r="I101" i="9"/>
  <c r="H101" i="9"/>
  <c r="I100" i="9"/>
  <c r="H100" i="9"/>
  <c r="I99" i="9"/>
  <c r="H99" i="9"/>
  <c r="I98" i="9"/>
  <c r="H98" i="9"/>
  <c r="I97" i="9"/>
  <c r="H97" i="9"/>
  <c r="I96" i="9"/>
  <c r="H96" i="9"/>
  <c r="I95" i="9"/>
  <c r="H95" i="9"/>
  <c r="I94" i="9"/>
  <c r="H94" i="9"/>
  <c r="I93" i="9"/>
  <c r="H93" i="9"/>
  <c r="I92" i="9"/>
  <c r="H92" i="9"/>
  <c r="I91" i="9"/>
  <c r="H91" i="9"/>
  <c r="I90" i="9"/>
  <c r="H90" i="9"/>
  <c r="I89" i="9"/>
  <c r="H89" i="9"/>
  <c r="I88" i="9"/>
  <c r="H88" i="9"/>
  <c r="I87" i="9"/>
  <c r="H87" i="9"/>
  <c r="I86" i="9"/>
  <c r="H86" i="9"/>
  <c r="I85" i="9"/>
  <c r="H85" i="9"/>
  <c r="I84" i="9"/>
  <c r="H84" i="9"/>
  <c r="I83" i="9"/>
  <c r="H83" i="9"/>
  <c r="I82" i="9"/>
  <c r="H82" i="9"/>
  <c r="I81" i="9"/>
  <c r="H81" i="9"/>
  <c r="I80" i="9"/>
  <c r="H80" i="9"/>
  <c r="I79" i="9"/>
  <c r="H79" i="9"/>
  <c r="I78" i="9"/>
  <c r="H78" i="9"/>
  <c r="I77" i="9"/>
  <c r="H77" i="9"/>
  <c r="I76" i="9"/>
  <c r="H76" i="9"/>
  <c r="I75" i="9"/>
  <c r="H75" i="9"/>
  <c r="I74" i="9"/>
  <c r="H74" i="9"/>
  <c r="I73" i="9"/>
  <c r="H73" i="9"/>
  <c r="I72" i="9"/>
  <c r="H72" i="9"/>
  <c r="I71" i="9"/>
  <c r="H71" i="9"/>
  <c r="I70" i="9"/>
  <c r="H70" i="9"/>
  <c r="I69" i="9"/>
  <c r="H69" i="9"/>
  <c r="I68" i="9"/>
  <c r="H68" i="9"/>
  <c r="I67" i="9"/>
  <c r="H67" i="9"/>
  <c r="I66" i="9"/>
  <c r="H66" i="9"/>
  <c r="I65" i="9"/>
  <c r="H65" i="9"/>
  <c r="I64" i="9"/>
  <c r="H64" i="9"/>
  <c r="I63" i="9"/>
  <c r="H63" i="9"/>
  <c r="I62" i="9"/>
  <c r="H62" i="9"/>
  <c r="I61" i="9"/>
  <c r="H61" i="9"/>
  <c r="I60" i="9"/>
  <c r="H60" i="9"/>
  <c r="I59" i="9"/>
  <c r="H59" i="9"/>
  <c r="I58" i="9"/>
  <c r="H58" i="9"/>
  <c r="I57" i="9"/>
  <c r="H57" i="9"/>
  <c r="I56" i="9"/>
  <c r="H56" i="9"/>
  <c r="I55" i="9"/>
  <c r="H55" i="9"/>
  <c r="I54" i="9"/>
  <c r="H54" i="9"/>
  <c r="I53" i="9"/>
  <c r="H53" i="9"/>
  <c r="I52" i="9"/>
  <c r="H52" i="9"/>
  <c r="I51" i="9"/>
  <c r="H51" i="9"/>
  <c r="I50" i="9"/>
  <c r="H50" i="9"/>
  <c r="I49" i="9"/>
  <c r="H49" i="9"/>
  <c r="I48" i="9"/>
  <c r="H48" i="9"/>
  <c r="I47" i="9"/>
  <c r="H47" i="9"/>
  <c r="I46" i="9"/>
  <c r="H46" i="9"/>
  <c r="I45" i="9"/>
  <c r="H45" i="9"/>
  <c r="I44" i="9"/>
  <c r="H44" i="9"/>
  <c r="I43" i="9"/>
  <c r="H43" i="9"/>
  <c r="I42" i="9"/>
  <c r="H42" i="9"/>
  <c r="I41" i="9"/>
  <c r="H41" i="9"/>
  <c r="I40" i="9"/>
  <c r="H40" i="9"/>
  <c r="I39" i="9"/>
  <c r="H39" i="9"/>
  <c r="I38" i="9"/>
  <c r="H38" i="9"/>
  <c r="I37" i="9"/>
  <c r="H37" i="9"/>
  <c r="I36" i="9"/>
  <c r="H36" i="9"/>
  <c r="I35" i="9"/>
  <c r="H35" i="9"/>
  <c r="I34" i="9"/>
  <c r="H34" i="9"/>
  <c r="I33" i="9"/>
  <c r="H33" i="9"/>
  <c r="I32" i="9"/>
  <c r="H32" i="9"/>
  <c r="I31" i="9"/>
  <c r="H31" i="9"/>
  <c r="I30" i="9"/>
  <c r="H30" i="9"/>
  <c r="I29" i="9"/>
  <c r="H29" i="9"/>
  <c r="I28" i="9"/>
  <c r="H28" i="9"/>
  <c r="I27" i="9"/>
  <c r="H27" i="9"/>
  <c r="I26" i="9"/>
  <c r="H26" i="9"/>
  <c r="I25" i="9"/>
  <c r="H25" i="9"/>
  <c r="I24" i="9"/>
  <c r="H24" i="9"/>
  <c r="I23" i="9"/>
  <c r="H23" i="9"/>
  <c r="I22" i="9"/>
  <c r="H22" i="9"/>
  <c r="I21" i="9"/>
  <c r="H21" i="9"/>
  <c r="I20" i="9"/>
  <c r="H20" i="9"/>
  <c r="I19" i="9"/>
  <c r="H19" i="9"/>
  <c r="I18" i="9"/>
  <c r="H18" i="9"/>
  <c r="I17" i="9"/>
  <c r="H17" i="9"/>
  <c r="I16" i="9"/>
  <c r="H16" i="9"/>
  <c r="I15" i="9"/>
  <c r="H15" i="9"/>
  <c r="I14" i="9"/>
  <c r="H14" i="9"/>
  <c r="I13" i="9"/>
  <c r="H13" i="9"/>
  <c r="I12" i="9"/>
  <c r="H12" i="9"/>
  <c r="I11" i="9"/>
  <c r="H11" i="9"/>
  <c r="I10" i="9"/>
  <c r="H10" i="9"/>
  <c r="I9" i="9"/>
  <c r="H9" i="9"/>
  <c r="I8" i="9"/>
  <c r="H8" i="9"/>
  <c r="I7" i="9"/>
  <c r="H7" i="9"/>
  <c r="I6" i="9"/>
  <c r="H6" i="9"/>
  <c r="I5" i="9"/>
  <c r="H5" i="9"/>
  <c r="I4" i="9"/>
  <c r="H4" i="9"/>
  <c r="I3" i="9"/>
  <c r="H3" i="9"/>
  <c r="I2" i="9"/>
  <c r="H2" i="9"/>
  <c r="R111" i="1"/>
  <c r="F34" i="14" s="1"/>
  <c r="B111" i="1"/>
  <c r="F18" i="14" s="1"/>
  <c r="R104" i="1"/>
  <c r="B104" i="1"/>
  <c r="R97" i="1"/>
  <c r="F32" i="14" s="1"/>
  <c r="B97" i="1"/>
  <c r="F16" i="14" s="1"/>
  <c r="R90" i="1"/>
  <c r="B90" i="1"/>
  <c r="R83" i="1"/>
  <c r="F30" i="14" s="1"/>
  <c r="B83" i="1"/>
  <c r="F14" i="14" s="1"/>
  <c r="R76" i="1"/>
  <c r="B76" i="1"/>
  <c r="F13" i="14" s="1"/>
  <c r="R69" i="1"/>
  <c r="F28" i="14" s="1"/>
  <c r="B69" i="1"/>
  <c r="F12" i="14" s="1"/>
  <c r="R62" i="1"/>
  <c r="F27" i="14" s="1"/>
  <c r="B62" i="1"/>
  <c r="F11" i="14" s="1"/>
  <c r="L59" i="1"/>
  <c r="U4" i="14" s="1"/>
  <c r="G59" i="1"/>
  <c r="U3" i="14" s="1"/>
  <c r="R55" i="1"/>
  <c r="F26" i="14" s="1"/>
  <c r="B55" i="1"/>
  <c r="F10" i="14" s="1"/>
  <c r="R48" i="1"/>
  <c r="B48" i="1"/>
  <c r="R41" i="1"/>
  <c r="F24" i="14" s="1"/>
  <c r="B41" i="1"/>
  <c r="F8" i="14" s="1"/>
  <c r="R34" i="1"/>
  <c r="B34" i="1"/>
  <c r="R27" i="1"/>
  <c r="F22" i="14" s="1"/>
  <c r="B27" i="1"/>
  <c r="F6" i="14" s="1"/>
  <c r="R20" i="1"/>
  <c r="B20" i="1"/>
  <c r="F5" i="14" s="1"/>
  <c r="R13" i="1"/>
  <c r="F20" i="14" s="1"/>
  <c r="B13" i="1"/>
  <c r="F4" i="14" s="1"/>
  <c r="R6" i="1"/>
  <c r="O6" i="1"/>
  <c r="L6" i="1"/>
  <c r="I6" i="1"/>
  <c r="F6" i="1"/>
  <c r="B6" i="1"/>
  <c r="C23" i="1" l="1"/>
  <c r="J4" i="14" s="1"/>
  <c r="Q65" i="1"/>
  <c r="Q107" i="1"/>
  <c r="J18" i="14" s="1"/>
  <c r="F33" i="14"/>
  <c r="C107" i="1"/>
  <c r="J10" i="14" s="1"/>
  <c r="F17" i="14"/>
  <c r="Q93" i="1"/>
  <c r="J17" i="14" s="1"/>
  <c r="F31" i="14"/>
  <c r="C93" i="1"/>
  <c r="J9" i="14" s="1"/>
  <c r="F15" i="14"/>
  <c r="Q79" i="1"/>
  <c r="J16" i="14" s="1"/>
  <c r="F29" i="14"/>
  <c r="C79" i="1"/>
  <c r="J8" i="14" s="1"/>
  <c r="C65" i="1"/>
  <c r="P100" i="1"/>
  <c r="N10" i="14" s="1"/>
  <c r="Q51" i="1"/>
  <c r="J14" i="14" s="1"/>
  <c r="F25" i="14"/>
  <c r="C51" i="1"/>
  <c r="J6" i="14" s="1"/>
  <c r="F9" i="14"/>
  <c r="Q37" i="1"/>
  <c r="J13" i="14" s="1"/>
  <c r="F23" i="14"/>
  <c r="C37" i="1"/>
  <c r="J5" i="14" s="1"/>
  <c r="F7" i="14"/>
  <c r="Q23" i="1"/>
  <c r="J12" i="14" s="1"/>
  <c r="F21" i="14"/>
  <c r="Q9" i="1"/>
  <c r="F19" i="14"/>
  <c r="C9" i="1"/>
  <c r="F3" i="14"/>
  <c r="B13" i="10"/>
  <c r="D25" i="16" s="1"/>
  <c r="E2" i="10"/>
  <c r="E8" i="10"/>
  <c r="E16" i="10"/>
  <c r="E32" i="10"/>
  <c r="E40" i="10"/>
  <c r="E48" i="10"/>
  <c r="E68" i="10"/>
  <c r="C147" i="10"/>
  <c r="F142" i="16" s="1"/>
  <c r="D39" i="10"/>
  <c r="H36" i="16" s="1"/>
  <c r="E24" i="10"/>
  <c r="E36" i="10"/>
  <c r="E56" i="10"/>
  <c r="E64" i="10"/>
  <c r="E76" i="10"/>
  <c r="E88" i="10"/>
  <c r="C46" i="10"/>
  <c r="F51" i="16" s="1"/>
  <c r="B53" i="10"/>
  <c r="D46" i="16" s="1"/>
  <c r="E44" i="10"/>
  <c r="E52" i="10"/>
  <c r="E60" i="10"/>
  <c r="E72" i="10"/>
  <c r="E80" i="10"/>
  <c r="E84" i="10"/>
  <c r="C171" i="10"/>
  <c r="F190" i="16" s="1"/>
  <c r="F212" i="10"/>
  <c r="D11" i="10"/>
  <c r="H5" i="16" s="1"/>
  <c r="C30" i="10"/>
  <c r="F35" i="16" s="1"/>
  <c r="B37" i="10"/>
  <c r="D31" i="16" s="1"/>
  <c r="D87" i="10"/>
  <c r="H88" i="16" s="1"/>
  <c r="C155" i="10"/>
  <c r="F155" i="16" s="1"/>
  <c r="C180" i="10"/>
  <c r="F168" i="16" s="1"/>
  <c r="E12" i="10"/>
  <c r="E20" i="10"/>
  <c r="B9" i="10"/>
  <c r="D14" i="16" s="1"/>
  <c r="E28" i="10"/>
  <c r="D71" i="10"/>
  <c r="H71" i="16" s="1"/>
  <c r="C78" i="10"/>
  <c r="F89" i="16" s="1"/>
  <c r="B85" i="10"/>
  <c r="D72" i="16" s="1"/>
  <c r="C131" i="10"/>
  <c r="F161" i="16" s="1"/>
  <c r="C163" i="10"/>
  <c r="F189" i="16" s="1"/>
  <c r="D15" i="10"/>
  <c r="H28" i="16" s="1"/>
  <c r="C26" i="10"/>
  <c r="F23" i="16" s="1"/>
  <c r="D55" i="10"/>
  <c r="H77" i="16" s="1"/>
  <c r="C62" i="10"/>
  <c r="F67" i="16" s="1"/>
  <c r="B69" i="10"/>
  <c r="D69" i="16" s="1"/>
  <c r="C139" i="10"/>
  <c r="F148" i="16" s="1"/>
  <c r="F4" i="10"/>
  <c r="D279" i="10"/>
  <c r="H288" i="16" s="1"/>
  <c r="B5" i="10"/>
  <c r="D3" i="16" s="1"/>
  <c r="D7" i="10"/>
  <c r="H9" i="16" s="1"/>
  <c r="C18" i="10"/>
  <c r="F12" i="16" s="1"/>
  <c r="C22" i="10"/>
  <c r="F19" i="16" s="1"/>
  <c r="B33" i="10"/>
  <c r="D16" i="16" s="1"/>
  <c r="D35" i="10"/>
  <c r="H34" i="16" s="1"/>
  <c r="C42" i="10"/>
  <c r="F64" i="16" s="1"/>
  <c r="B49" i="10"/>
  <c r="D52" i="16" s="1"/>
  <c r="D51" i="10"/>
  <c r="H54" i="16" s="1"/>
  <c r="C58" i="10"/>
  <c r="F53" i="16" s="1"/>
  <c r="B65" i="10"/>
  <c r="D49" i="16" s="1"/>
  <c r="D67" i="10"/>
  <c r="H68" i="16" s="1"/>
  <c r="C74" i="10"/>
  <c r="F62" i="16" s="1"/>
  <c r="B81" i="10"/>
  <c r="D66" i="16" s="1"/>
  <c r="D83" i="10"/>
  <c r="H82" i="16" s="1"/>
  <c r="D90" i="10"/>
  <c r="H79" i="16" s="1"/>
  <c r="D98" i="10"/>
  <c r="H96" i="16" s="1"/>
  <c r="C108" i="10"/>
  <c r="F111" i="16" s="1"/>
  <c r="D129" i="10"/>
  <c r="H122" i="16" s="1"/>
  <c r="D137" i="10"/>
  <c r="H120" i="16" s="1"/>
  <c r="D145" i="10"/>
  <c r="H145" i="16" s="1"/>
  <c r="D153" i="10"/>
  <c r="H153" i="16" s="1"/>
  <c r="D161" i="10"/>
  <c r="H177" i="16" s="1"/>
  <c r="D169" i="10"/>
  <c r="H169" i="16" s="1"/>
  <c r="B351" i="10"/>
  <c r="D351" i="16" s="1"/>
  <c r="E95" i="10"/>
  <c r="B4" i="10"/>
  <c r="D4" i="16" s="1"/>
  <c r="C10" i="10"/>
  <c r="F17" i="16" s="1"/>
  <c r="C14" i="10"/>
  <c r="F13" i="16" s="1"/>
  <c r="B25" i="10"/>
  <c r="D26" i="16" s="1"/>
  <c r="D27" i="10"/>
  <c r="H38" i="16" s="1"/>
  <c r="B29" i="10"/>
  <c r="D30" i="16" s="1"/>
  <c r="D31" i="10"/>
  <c r="H32" i="16" s="1"/>
  <c r="C38" i="10"/>
  <c r="F45" i="16" s="1"/>
  <c r="B45" i="10"/>
  <c r="D44" i="16" s="1"/>
  <c r="D47" i="10"/>
  <c r="H43" i="16" s="1"/>
  <c r="C54" i="10"/>
  <c r="F65" i="16" s="1"/>
  <c r="B61" i="10"/>
  <c r="D63" i="16" s="1"/>
  <c r="D63" i="10"/>
  <c r="H58" i="16" s="1"/>
  <c r="C70" i="10"/>
  <c r="F86" i="16" s="1"/>
  <c r="B77" i="10"/>
  <c r="D98" i="16" s="1"/>
  <c r="D79" i="10"/>
  <c r="H103" i="16" s="1"/>
  <c r="C86" i="10"/>
  <c r="F84" i="16" s="1"/>
  <c r="C93" i="10"/>
  <c r="F92" i="16" s="1"/>
  <c r="C96" i="10"/>
  <c r="F105" i="16" s="1"/>
  <c r="C116" i="10"/>
  <c r="F114" i="16" s="1"/>
  <c r="C135" i="10"/>
  <c r="F140" i="16" s="1"/>
  <c r="C143" i="10"/>
  <c r="F124" i="16" s="1"/>
  <c r="C151" i="10"/>
  <c r="F146" i="16" s="1"/>
  <c r="C159" i="10"/>
  <c r="F158" i="16" s="1"/>
  <c r="C167" i="10"/>
  <c r="F188" i="16" s="1"/>
  <c r="C175" i="10"/>
  <c r="F171" i="16" s="1"/>
  <c r="D253" i="10"/>
  <c r="H226" i="16" s="1"/>
  <c r="C2" i="10"/>
  <c r="F7" i="16" s="1"/>
  <c r="B3" i="10"/>
  <c r="D6" i="16" s="1"/>
  <c r="F231" i="10"/>
  <c r="C6" i="10"/>
  <c r="F2" i="16" s="1"/>
  <c r="B17" i="10"/>
  <c r="D11" i="16" s="1"/>
  <c r="D19" i="10"/>
  <c r="H18" i="16" s="1"/>
  <c r="B21" i="10"/>
  <c r="D10" i="16" s="1"/>
  <c r="D23" i="10"/>
  <c r="H24" i="16" s="1"/>
  <c r="C34" i="10"/>
  <c r="F27" i="16" s="1"/>
  <c r="B41" i="10"/>
  <c r="D61" i="16" s="1"/>
  <c r="D43" i="10"/>
  <c r="H40" i="16" s="1"/>
  <c r="C50" i="10"/>
  <c r="F47" i="16" s="1"/>
  <c r="B57" i="10"/>
  <c r="D50" i="16" s="1"/>
  <c r="D59" i="10"/>
  <c r="H56" i="16" s="1"/>
  <c r="C66" i="10"/>
  <c r="F59" i="16" s="1"/>
  <c r="B73" i="10"/>
  <c r="D70" i="16" s="1"/>
  <c r="D75" i="10"/>
  <c r="H60" i="16" s="1"/>
  <c r="C82" i="10"/>
  <c r="F95" i="16" s="1"/>
  <c r="B89" i="10"/>
  <c r="D85" i="16" s="1"/>
  <c r="B91" i="10"/>
  <c r="D100" i="16" s="1"/>
  <c r="B99" i="10"/>
  <c r="D99" i="16" s="1"/>
  <c r="C124" i="10"/>
  <c r="F131" i="16" s="1"/>
  <c r="D133" i="10"/>
  <c r="H133" i="16" s="1"/>
  <c r="D141" i="10"/>
  <c r="H136" i="16" s="1"/>
  <c r="D149" i="10"/>
  <c r="H152" i="16" s="1"/>
  <c r="D157" i="10"/>
  <c r="H156" i="16" s="1"/>
  <c r="D165" i="10"/>
  <c r="H170" i="16" s="1"/>
  <c r="D173" i="10"/>
  <c r="H178" i="16" s="1"/>
  <c r="F188" i="10"/>
  <c r="F220" i="10"/>
  <c r="F9" i="10"/>
  <c r="F17" i="10"/>
  <c r="F25" i="10"/>
  <c r="F33" i="10"/>
  <c r="F41" i="10"/>
  <c r="F49" i="10"/>
  <c r="F57" i="10"/>
  <c r="F65" i="10"/>
  <c r="F73" i="10"/>
  <c r="F81" i="10"/>
  <c r="F89" i="10"/>
  <c r="F97" i="10"/>
  <c r="F111" i="10"/>
  <c r="F127" i="10"/>
  <c r="F196" i="10"/>
  <c r="F228" i="10"/>
  <c r="F204" i="10"/>
  <c r="F3" i="10"/>
  <c r="F5" i="10"/>
  <c r="F13" i="10"/>
  <c r="F21" i="10"/>
  <c r="F29" i="10"/>
  <c r="F37" i="10"/>
  <c r="F45" i="10"/>
  <c r="F53" i="10"/>
  <c r="F61" i="10"/>
  <c r="F69" i="10"/>
  <c r="F77" i="10"/>
  <c r="F85" i="10"/>
  <c r="F92" i="10"/>
  <c r="F100" i="10"/>
  <c r="F103" i="10"/>
  <c r="F119" i="10"/>
  <c r="D2" i="10"/>
  <c r="H7" i="16" s="1"/>
  <c r="C3" i="10"/>
  <c r="F6" i="16" s="1"/>
  <c r="C4" i="10"/>
  <c r="F4" i="16" s="1"/>
  <c r="C5" i="10"/>
  <c r="F3" i="16" s="1"/>
  <c r="D6" i="10"/>
  <c r="H2" i="16" s="1"/>
  <c r="E7" i="10"/>
  <c r="B8" i="10"/>
  <c r="D20" i="16" s="1"/>
  <c r="F8" i="10"/>
  <c r="C9" i="10"/>
  <c r="F14" i="16" s="1"/>
  <c r="D10" i="10"/>
  <c r="H17" i="16" s="1"/>
  <c r="E11" i="10"/>
  <c r="B12" i="10"/>
  <c r="D8" i="16" s="1"/>
  <c r="F12" i="10"/>
  <c r="C13" i="10"/>
  <c r="F25" i="16" s="1"/>
  <c r="D14" i="10"/>
  <c r="H13" i="16" s="1"/>
  <c r="E15" i="10"/>
  <c r="B16" i="10"/>
  <c r="D15" i="16" s="1"/>
  <c r="F16" i="10"/>
  <c r="C17" i="10"/>
  <c r="F11" i="16" s="1"/>
  <c r="D18" i="10"/>
  <c r="H12" i="16" s="1"/>
  <c r="E19" i="10"/>
  <c r="B20" i="10"/>
  <c r="D22" i="16" s="1"/>
  <c r="F20" i="10"/>
  <c r="C21" i="10"/>
  <c r="F10" i="16" s="1"/>
  <c r="D22" i="10"/>
  <c r="H19" i="16" s="1"/>
  <c r="E23" i="10"/>
  <c r="B24" i="10"/>
  <c r="D29" i="16" s="1"/>
  <c r="F24" i="10"/>
  <c r="C25" i="10"/>
  <c r="F26" i="16" s="1"/>
  <c r="D26" i="10"/>
  <c r="H23" i="16" s="1"/>
  <c r="E27" i="10"/>
  <c r="B28" i="10"/>
  <c r="D21" i="16" s="1"/>
  <c r="F28" i="10"/>
  <c r="C29" i="10"/>
  <c r="F30" i="16" s="1"/>
  <c r="D30" i="10"/>
  <c r="H35" i="16" s="1"/>
  <c r="E31" i="10"/>
  <c r="B32" i="10"/>
  <c r="D42" i="16" s="1"/>
  <c r="F32" i="10"/>
  <c r="C33" i="10"/>
  <c r="F16" i="16" s="1"/>
  <c r="D34" i="10"/>
  <c r="H27" i="16" s="1"/>
  <c r="E35" i="10"/>
  <c r="B36" i="10"/>
  <c r="D41" i="16" s="1"/>
  <c r="F36" i="10"/>
  <c r="C37" i="10"/>
  <c r="F31" i="16" s="1"/>
  <c r="D38" i="10"/>
  <c r="H45" i="16" s="1"/>
  <c r="E39" i="10"/>
  <c r="B40" i="10"/>
  <c r="D33" i="16" s="1"/>
  <c r="F40" i="10"/>
  <c r="C41" i="10"/>
  <c r="F61" i="16" s="1"/>
  <c r="D42" i="10"/>
  <c r="H64" i="16" s="1"/>
  <c r="E43" i="10"/>
  <c r="B44" i="10"/>
  <c r="D37" i="16" s="1"/>
  <c r="F44" i="10"/>
  <c r="C45" i="10"/>
  <c r="F44" i="16" s="1"/>
  <c r="D46" i="10"/>
  <c r="H51" i="16" s="1"/>
  <c r="E47" i="10"/>
  <c r="B48" i="10"/>
  <c r="D39" i="16" s="1"/>
  <c r="F48" i="10"/>
  <c r="C49" i="10"/>
  <c r="F52" i="16" s="1"/>
  <c r="D50" i="10"/>
  <c r="H47" i="16" s="1"/>
  <c r="E51" i="10"/>
  <c r="B52" i="10"/>
  <c r="D55" i="16" s="1"/>
  <c r="F52" i="10"/>
  <c r="C53" i="10"/>
  <c r="F46" i="16" s="1"/>
  <c r="D54" i="10"/>
  <c r="H65" i="16" s="1"/>
  <c r="E55" i="10"/>
  <c r="B56" i="10"/>
  <c r="D48" i="16" s="1"/>
  <c r="F56" i="10"/>
  <c r="C57" i="10"/>
  <c r="F50" i="16" s="1"/>
  <c r="D58" i="10"/>
  <c r="H53" i="16" s="1"/>
  <c r="E59" i="10"/>
  <c r="B60" i="10"/>
  <c r="D57" i="16" s="1"/>
  <c r="F60" i="10"/>
  <c r="C61" i="10"/>
  <c r="F63" i="16" s="1"/>
  <c r="D62" i="10"/>
  <c r="H67" i="16" s="1"/>
  <c r="E63" i="10"/>
  <c r="B64" i="10"/>
  <c r="D81" i="16" s="1"/>
  <c r="F64" i="10"/>
  <c r="C65" i="10"/>
  <c r="F49" i="16" s="1"/>
  <c r="D66" i="10"/>
  <c r="H59" i="16" s="1"/>
  <c r="E67" i="10"/>
  <c r="B68" i="10"/>
  <c r="D75" i="16" s="1"/>
  <c r="F68" i="10"/>
  <c r="C69" i="10"/>
  <c r="F69" i="16" s="1"/>
  <c r="D70" i="10"/>
  <c r="H86" i="16" s="1"/>
  <c r="E71" i="10"/>
  <c r="B72" i="10"/>
  <c r="D83" i="16" s="1"/>
  <c r="F72" i="10"/>
  <c r="C73" i="10"/>
  <c r="F70" i="16" s="1"/>
  <c r="D74" i="10"/>
  <c r="H62" i="16" s="1"/>
  <c r="E75" i="10"/>
  <c r="B76" i="10"/>
  <c r="D101" i="16" s="1"/>
  <c r="F76" i="10"/>
  <c r="C77" i="10"/>
  <c r="F98" i="16" s="1"/>
  <c r="D78" i="10"/>
  <c r="H89" i="16" s="1"/>
  <c r="E79" i="10"/>
  <c r="B80" i="10"/>
  <c r="D102" i="16" s="1"/>
  <c r="F80" i="10"/>
  <c r="C81" i="10"/>
  <c r="F66" i="16" s="1"/>
  <c r="D82" i="10"/>
  <c r="H95" i="16" s="1"/>
  <c r="E83" i="10"/>
  <c r="B84" i="10"/>
  <c r="D74" i="16" s="1"/>
  <c r="F84" i="10"/>
  <c r="C85" i="10"/>
  <c r="F72" i="16" s="1"/>
  <c r="D86" i="10"/>
  <c r="H84" i="16" s="1"/>
  <c r="E87" i="10"/>
  <c r="B88" i="10"/>
  <c r="D80" i="16" s="1"/>
  <c r="F88" i="10"/>
  <c r="C89" i="10"/>
  <c r="F85" i="16" s="1"/>
  <c r="E90" i="10"/>
  <c r="D91" i="10"/>
  <c r="H100" i="16" s="1"/>
  <c r="B92" i="10"/>
  <c r="D94" i="16" s="1"/>
  <c r="D93" i="10"/>
  <c r="H92" i="16" s="1"/>
  <c r="C94" i="10"/>
  <c r="F90" i="16" s="1"/>
  <c r="F95" i="10"/>
  <c r="E96" i="10"/>
  <c r="B97" i="10"/>
  <c r="D91" i="16" s="1"/>
  <c r="E98" i="10"/>
  <c r="D99" i="10"/>
  <c r="H99" i="16" s="1"/>
  <c r="B100" i="10"/>
  <c r="D73" i="16" s="1"/>
  <c r="E102" i="10"/>
  <c r="D105" i="10"/>
  <c r="H127" i="16" s="1"/>
  <c r="B107" i="10"/>
  <c r="D107" i="16" s="1"/>
  <c r="E110" i="10"/>
  <c r="D113" i="10"/>
  <c r="H117" i="16" s="1"/>
  <c r="B115" i="10"/>
  <c r="D129" i="16" s="1"/>
  <c r="E118" i="10"/>
  <c r="D121" i="10"/>
  <c r="H139" i="16" s="1"/>
  <c r="B123" i="10"/>
  <c r="D112" i="16" s="1"/>
  <c r="E126" i="10"/>
  <c r="F183" i="10"/>
  <c r="E186" i="10"/>
  <c r="F191" i="10"/>
  <c r="E194" i="10"/>
  <c r="F199" i="10"/>
  <c r="E202" i="10"/>
  <c r="F207" i="10"/>
  <c r="E210" i="10"/>
  <c r="F215" i="10"/>
  <c r="E218" i="10"/>
  <c r="F223" i="10"/>
  <c r="E226" i="10"/>
  <c r="D263" i="10"/>
  <c r="H266" i="16" s="1"/>
  <c r="C266" i="10"/>
  <c r="F274" i="16" s="1"/>
  <c r="D351" i="10"/>
  <c r="H351" i="16" s="1"/>
  <c r="C350" i="10"/>
  <c r="F349" i="16" s="1"/>
  <c r="B349" i="10"/>
  <c r="D350" i="16" s="1"/>
  <c r="D347" i="10"/>
  <c r="H347" i="16" s="1"/>
  <c r="C346" i="10"/>
  <c r="F344" i="16" s="1"/>
  <c r="B345" i="10"/>
  <c r="D341" i="16" s="1"/>
  <c r="D343" i="10"/>
  <c r="H345" i="16" s="1"/>
  <c r="C342" i="10"/>
  <c r="F340" i="16" s="1"/>
  <c r="B341" i="10"/>
  <c r="D337" i="16" s="1"/>
  <c r="D339" i="10"/>
  <c r="H333" i="16" s="1"/>
  <c r="C338" i="10"/>
  <c r="F329" i="16" s="1"/>
  <c r="B337" i="10"/>
  <c r="D334" i="16" s="1"/>
  <c r="D335" i="10"/>
  <c r="H339" i="16" s="1"/>
  <c r="C334" i="10"/>
  <c r="F343" i="16" s="1"/>
  <c r="B333" i="10"/>
  <c r="D336" i="16" s="1"/>
  <c r="D331" i="10"/>
  <c r="H325" i="16" s="1"/>
  <c r="C330" i="10"/>
  <c r="F331" i="16" s="1"/>
  <c r="B329" i="10"/>
  <c r="D326" i="16" s="1"/>
  <c r="D327" i="10"/>
  <c r="H328" i="16" s="1"/>
  <c r="C326" i="10"/>
  <c r="F332" i="16" s="1"/>
  <c r="B325" i="10"/>
  <c r="D311" i="16" s="1"/>
  <c r="D323" i="10"/>
  <c r="H314" i="16" s="1"/>
  <c r="C322" i="10"/>
  <c r="F330" i="16" s="1"/>
  <c r="B321" i="10"/>
  <c r="D319" i="16" s="1"/>
  <c r="D319" i="10"/>
  <c r="H281" i="16" s="1"/>
  <c r="C318" i="10"/>
  <c r="F324" i="16" s="1"/>
  <c r="B317" i="10"/>
  <c r="D310" i="16" s="1"/>
  <c r="D315" i="10"/>
  <c r="H318" i="16" s="1"/>
  <c r="C314" i="10"/>
  <c r="F322" i="16" s="1"/>
  <c r="B313" i="10"/>
  <c r="D316" i="16" s="1"/>
  <c r="D311" i="10"/>
  <c r="H313" i="16" s="1"/>
  <c r="C310" i="10"/>
  <c r="F321" i="16" s="1"/>
  <c r="B309" i="10"/>
  <c r="D309" i="16" s="1"/>
  <c r="D307" i="10"/>
  <c r="H305" i="16" s="1"/>
  <c r="C306" i="10"/>
  <c r="F327" i="16" s="1"/>
  <c r="B305" i="10"/>
  <c r="D301" i="16" s="1"/>
  <c r="D303" i="10"/>
  <c r="H306" i="16" s="1"/>
  <c r="C302" i="10"/>
  <c r="F284" i="16" s="1"/>
  <c r="D352" i="10"/>
  <c r="H352" i="16" s="1"/>
  <c r="C351" i="10"/>
  <c r="F351" i="16" s="1"/>
  <c r="B350" i="10"/>
  <c r="D349" i="16" s="1"/>
  <c r="D348" i="10"/>
  <c r="H348" i="16" s="1"/>
  <c r="C347" i="10"/>
  <c r="F347" i="16" s="1"/>
  <c r="B346" i="10"/>
  <c r="D344" i="16" s="1"/>
  <c r="D344" i="10"/>
  <c r="H346" i="16" s="1"/>
  <c r="C343" i="10"/>
  <c r="F345" i="16" s="1"/>
  <c r="B342" i="10"/>
  <c r="D340" i="16" s="1"/>
  <c r="D340" i="10"/>
  <c r="H342" i="16" s="1"/>
  <c r="C339" i="10"/>
  <c r="F333" i="16" s="1"/>
  <c r="B338" i="10"/>
  <c r="D329" i="16" s="1"/>
  <c r="D336" i="10"/>
  <c r="H338" i="16" s="1"/>
  <c r="C335" i="10"/>
  <c r="F339" i="16" s="1"/>
  <c r="B334" i="10"/>
  <c r="D343" i="16" s="1"/>
  <c r="D332" i="10"/>
  <c r="H335" i="16" s="1"/>
  <c r="C331" i="10"/>
  <c r="F325" i="16" s="1"/>
  <c r="B330" i="10"/>
  <c r="D331" i="16" s="1"/>
  <c r="D328" i="10"/>
  <c r="H323" i="16" s="1"/>
  <c r="C327" i="10"/>
  <c r="F328" i="16" s="1"/>
  <c r="B326" i="10"/>
  <c r="D332" i="16" s="1"/>
  <c r="D324" i="10"/>
  <c r="H308" i="16" s="1"/>
  <c r="C323" i="10"/>
  <c r="F314" i="16" s="1"/>
  <c r="B322" i="10"/>
  <c r="D330" i="16" s="1"/>
  <c r="D320" i="10"/>
  <c r="H304" i="16" s="1"/>
  <c r="C319" i="10"/>
  <c r="F281" i="16" s="1"/>
  <c r="B318" i="10"/>
  <c r="D324" i="16" s="1"/>
  <c r="D316" i="10"/>
  <c r="H317" i="16" s="1"/>
  <c r="C315" i="10"/>
  <c r="F318" i="16" s="1"/>
  <c r="B314" i="10"/>
  <c r="D322" i="16" s="1"/>
  <c r="D312" i="10"/>
  <c r="H315" i="16" s="1"/>
  <c r="C311" i="10"/>
  <c r="F313" i="16" s="1"/>
  <c r="B310" i="10"/>
  <c r="D321" i="16" s="1"/>
  <c r="D308" i="10"/>
  <c r="H273" i="16" s="1"/>
  <c r="C307" i="10"/>
  <c r="F305" i="16" s="1"/>
  <c r="B306" i="10"/>
  <c r="D327" i="16" s="1"/>
  <c r="D304" i="10"/>
  <c r="H300" i="16" s="1"/>
  <c r="C303" i="10"/>
  <c r="F306" i="16" s="1"/>
  <c r="B302" i="10"/>
  <c r="D284" i="16" s="1"/>
  <c r="C352" i="10"/>
  <c r="F352" i="16" s="1"/>
  <c r="D350" i="10"/>
  <c r="H349" i="16" s="1"/>
  <c r="C349" i="10"/>
  <c r="F350" i="16" s="1"/>
  <c r="C348" i="10"/>
  <c r="F348" i="16" s="1"/>
  <c r="D346" i="10"/>
  <c r="H344" i="16" s="1"/>
  <c r="C345" i="10"/>
  <c r="F341" i="16" s="1"/>
  <c r="C344" i="10"/>
  <c r="F346" i="16" s="1"/>
  <c r="D342" i="10"/>
  <c r="H340" i="16" s="1"/>
  <c r="C341" i="10"/>
  <c r="F337" i="16" s="1"/>
  <c r="C340" i="10"/>
  <c r="F342" i="16" s="1"/>
  <c r="D338" i="10"/>
  <c r="H329" i="16" s="1"/>
  <c r="C337" i="10"/>
  <c r="F334" i="16" s="1"/>
  <c r="C336" i="10"/>
  <c r="F338" i="16" s="1"/>
  <c r="D334" i="10"/>
  <c r="H343" i="16" s="1"/>
  <c r="C333" i="10"/>
  <c r="F336" i="16" s="1"/>
  <c r="C332" i="10"/>
  <c r="F335" i="16" s="1"/>
  <c r="D330" i="10"/>
  <c r="H331" i="16" s="1"/>
  <c r="C329" i="10"/>
  <c r="F326" i="16" s="1"/>
  <c r="C328" i="10"/>
  <c r="F323" i="16" s="1"/>
  <c r="D326" i="10"/>
  <c r="H332" i="16" s="1"/>
  <c r="C325" i="10"/>
  <c r="F311" i="16" s="1"/>
  <c r="C324" i="10"/>
  <c r="F308" i="16" s="1"/>
  <c r="D322" i="10"/>
  <c r="H330" i="16" s="1"/>
  <c r="C321" i="10"/>
  <c r="F319" i="16" s="1"/>
  <c r="C320" i="10"/>
  <c r="F304" i="16" s="1"/>
  <c r="D318" i="10"/>
  <c r="H324" i="16" s="1"/>
  <c r="C317" i="10"/>
  <c r="F310" i="16" s="1"/>
  <c r="C316" i="10"/>
  <c r="F317" i="16" s="1"/>
  <c r="D314" i="10"/>
  <c r="H322" i="16" s="1"/>
  <c r="C313" i="10"/>
  <c r="F316" i="16" s="1"/>
  <c r="C312" i="10"/>
  <c r="F315" i="16" s="1"/>
  <c r="D310" i="10"/>
  <c r="H321" i="16" s="1"/>
  <c r="C309" i="10"/>
  <c r="F309" i="16" s="1"/>
  <c r="C308" i="10"/>
  <c r="F273" i="16" s="1"/>
  <c r="D306" i="10"/>
  <c r="H327" i="16" s="1"/>
  <c r="C305" i="10"/>
  <c r="F301" i="16" s="1"/>
  <c r="C304" i="10"/>
  <c r="F300" i="16" s="1"/>
  <c r="D302" i="10"/>
  <c r="H284" i="16" s="1"/>
  <c r="C301" i="10"/>
  <c r="F312" i="16" s="1"/>
  <c r="B300" i="10"/>
  <c r="D291" i="16" s="1"/>
  <c r="D298" i="10"/>
  <c r="H289" i="16" s="1"/>
  <c r="C297" i="10"/>
  <c r="F297" i="16" s="1"/>
  <c r="B296" i="10"/>
  <c r="D287" i="16" s="1"/>
  <c r="D294" i="10"/>
  <c r="H307" i="16" s="1"/>
  <c r="C293" i="10"/>
  <c r="F294" i="16" s="1"/>
  <c r="B292" i="10"/>
  <c r="D299" i="16" s="1"/>
  <c r="D290" i="10"/>
  <c r="H296" i="16" s="1"/>
  <c r="C289" i="10"/>
  <c r="F302" i="16" s="1"/>
  <c r="B288" i="10"/>
  <c r="D293" i="16" s="1"/>
  <c r="D286" i="10"/>
  <c r="H285" i="16" s="1"/>
  <c r="C285" i="10"/>
  <c r="F298" i="16" s="1"/>
  <c r="B284" i="10"/>
  <c r="D269" i="16" s="1"/>
  <c r="D282" i="10"/>
  <c r="H261" i="16" s="1"/>
  <c r="C281" i="10"/>
  <c r="F272" i="16" s="1"/>
  <c r="B280" i="10"/>
  <c r="D278" i="16" s="1"/>
  <c r="B352" i="10"/>
  <c r="D352" i="16" s="1"/>
  <c r="D349" i="10"/>
  <c r="H350" i="16" s="1"/>
  <c r="B348" i="10"/>
  <c r="D348" i="16" s="1"/>
  <c r="D345" i="10"/>
  <c r="H341" i="16" s="1"/>
  <c r="B344" i="10"/>
  <c r="D346" i="16" s="1"/>
  <c r="D341" i="10"/>
  <c r="H337" i="16" s="1"/>
  <c r="B340" i="10"/>
  <c r="D342" i="16" s="1"/>
  <c r="D337" i="10"/>
  <c r="H334" i="16" s="1"/>
  <c r="B336" i="10"/>
  <c r="D338" i="16" s="1"/>
  <c r="D333" i="10"/>
  <c r="H336" i="16" s="1"/>
  <c r="B332" i="10"/>
  <c r="D335" i="16" s="1"/>
  <c r="D329" i="10"/>
  <c r="H326" i="16" s="1"/>
  <c r="B328" i="10"/>
  <c r="D323" i="16" s="1"/>
  <c r="D325" i="10"/>
  <c r="H311" i="16" s="1"/>
  <c r="B324" i="10"/>
  <c r="D308" i="16" s="1"/>
  <c r="D321" i="10"/>
  <c r="H319" i="16" s="1"/>
  <c r="B320" i="10"/>
  <c r="D304" i="16" s="1"/>
  <c r="D317" i="10"/>
  <c r="H310" i="16" s="1"/>
  <c r="B316" i="10"/>
  <c r="D317" i="16" s="1"/>
  <c r="D313" i="10"/>
  <c r="H316" i="16" s="1"/>
  <c r="B312" i="10"/>
  <c r="D315" i="16" s="1"/>
  <c r="D309" i="10"/>
  <c r="H309" i="16" s="1"/>
  <c r="B308" i="10"/>
  <c r="D273" i="16" s="1"/>
  <c r="D305" i="10"/>
  <c r="H301" i="16" s="1"/>
  <c r="B304" i="10"/>
  <c r="D300" i="16" s="1"/>
  <c r="D301" i="10"/>
  <c r="H312" i="16" s="1"/>
  <c r="B299" i="10"/>
  <c r="D320" i="16" s="1"/>
  <c r="C296" i="10"/>
  <c r="F287" i="16" s="1"/>
  <c r="D295" i="10"/>
  <c r="H295" i="16" s="1"/>
  <c r="B294" i="10"/>
  <c r="D307" i="16" s="1"/>
  <c r="D293" i="10"/>
  <c r="H294" i="16" s="1"/>
  <c r="B291" i="10"/>
  <c r="D303" i="16" s="1"/>
  <c r="C288" i="10"/>
  <c r="F293" i="16" s="1"/>
  <c r="D287" i="10"/>
  <c r="H290" i="16" s="1"/>
  <c r="B286" i="10"/>
  <c r="D285" i="16" s="1"/>
  <c r="D285" i="10"/>
  <c r="H298" i="16" s="1"/>
  <c r="B283" i="10"/>
  <c r="D292" i="16" s="1"/>
  <c r="C280" i="10"/>
  <c r="F278" i="16" s="1"/>
  <c r="D278" i="10"/>
  <c r="H286" i="16" s="1"/>
  <c r="C277" i="10"/>
  <c r="F271" i="16" s="1"/>
  <c r="B276" i="10"/>
  <c r="D267" i="16" s="1"/>
  <c r="D274" i="10"/>
  <c r="H265" i="16" s="1"/>
  <c r="C273" i="10"/>
  <c r="F276" i="16" s="1"/>
  <c r="B272" i="10"/>
  <c r="D268" i="16" s="1"/>
  <c r="D270" i="10"/>
  <c r="H260" i="16" s="1"/>
  <c r="C269" i="10"/>
  <c r="F258" i="16" s="1"/>
  <c r="B268" i="10"/>
  <c r="D279" i="16" s="1"/>
  <c r="D266" i="10"/>
  <c r="H274" i="16" s="1"/>
  <c r="C265" i="10"/>
  <c r="F283" i="16" s="1"/>
  <c r="B264" i="10"/>
  <c r="D257" i="16" s="1"/>
  <c r="D262" i="10"/>
  <c r="H275" i="16" s="1"/>
  <c r="C261" i="10"/>
  <c r="F277" i="16" s="1"/>
  <c r="B260" i="10"/>
  <c r="D230" i="16" s="1"/>
  <c r="D258" i="10"/>
  <c r="H259" i="16" s="1"/>
  <c r="C257" i="10"/>
  <c r="F263" i="16" s="1"/>
  <c r="B256" i="10"/>
  <c r="D254" i="16" s="1"/>
  <c r="D254" i="10"/>
  <c r="H239" i="16" s="1"/>
  <c r="C253" i="10"/>
  <c r="F226" i="16" s="1"/>
  <c r="B252" i="10"/>
  <c r="D251" i="16" s="1"/>
  <c r="D250" i="10"/>
  <c r="H262" i="16" s="1"/>
  <c r="C249" i="10"/>
  <c r="F252" i="16" s="1"/>
  <c r="B248" i="10"/>
  <c r="D241" i="16" s="1"/>
  <c r="D246" i="10"/>
  <c r="H245" i="16" s="1"/>
  <c r="C245" i="10"/>
  <c r="F248" i="16" s="1"/>
  <c r="C300" i="10"/>
  <c r="F291" i="16" s="1"/>
  <c r="D299" i="10"/>
  <c r="H320" i="16" s="1"/>
  <c r="B298" i="10"/>
  <c r="D289" i="16" s="1"/>
  <c r="D297" i="10"/>
  <c r="H297" i="16" s="1"/>
  <c r="B295" i="10"/>
  <c r="D295" i="16" s="1"/>
  <c r="C292" i="10"/>
  <c r="F299" i="16" s="1"/>
  <c r="D291" i="10"/>
  <c r="H303" i="16" s="1"/>
  <c r="B290" i="10"/>
  <c r="D296" i="16" s="1"/>
  <c r="D289" i="10"/>
  <c r="H302" i="16" s="1"/>
  <c r="B287" i="10"/>
  <c r="D290" i="16" s="1"/>
  <c r="C284" i="10"/>
  <c r="F269" i="16" s="1"/>
  <c r="D283" i="10"/>
  <c r="H292" i="16" s="1"/>
  <c r="B282" i="10"/>
  <c r="D261" i="16" s="1"/>
  <c r="D281" i="10"/>
  <c r="H272" i="16" s="1"/>
  <c r="C279" i="10"/>
  <c r="F288" i="16" s="1"/>
  <c r="B278" i="10"/>
  <c r="D286" i="16" s="1"/>
  <c r="D276" i="10"/>
  <c r="H267" i="16" s="1"/>
  <c r="C275" i="10"/>
  <c r="F270" i="16" s="1"/>
  <c r="B274" i="10"/>
  <c r="D265" i="16" s="1"/>
  <c r="D272" i="10"/>
  <c r="H268" i="16" s="1"/>
  <c r="C271" i="10"/>
  <c r="F282" i="16" s="1"/>
  <c r="B270" i="10"/>
  <c r="D260" i="16" s="1"/>
  <c r="D268" i="10"/>
  <c r="H279" i="16" s="1"/>
  <c r="C267" i="10"/>
  <c r="F280" i="16" s="1"/>
  <c r="B266" i="10"/>
  <c r="D274" i="16" s="1"/>
  <c r="D264" i="10"/>
  <c r="H257" i="16" s="1"/>
  <c r="C263" i="10"/>
  <c r="F266" i="16" s="1"/>
  <c r="B262" i="10"/>
  <c r="D275" i="16" s="1"/>
  <c r="D260" i="10"/>
  <c r="H230" i="16" s="1"/>
  <c r="C259" i="10"/>
  <c r="F256" i="16" s="1"/>
  <c r="B301" i="10"/>
  <c r="D312" i="16" s="1"/>
  <c r="B297" i="10"/>
  <c r="D297" i="16" s="1"/>
  <c r="B293" i="10"/>
  <c r="D294" i="16" s="1"/>
  <c r="B289" i="10"/>
  <c r="D302" i="16" s="1"/>
  <c r="B285" i="10"/>
  <c r="D298" i="16" s="1"/>
  <c r="B281" i="10"/>
  <c r="D272" i="16" s="1"/>
  <c r="C258" i="10"/>
  <c r="F259" i="16" s="1"/>
  <c r="C255" i="10"/>
  <c r="F243" i="16" s="1"/>
  <c r="B253" i="10"/>
  <c r="D226" i="16" s="1"/>
  <c r="D252" i="10"/>
  <c r="H251" i="16" s="1"/>
  <c r="C250" i="10"/>
  <c r="F262" i="16" s="1"/>
  <c r="C247" i="10"/>
  <c r="F264" i="16" s="1"/>
  <c r="B245" i="10"/>
  <c r="D248" i="16" s="1"/>
  <c r="D243" i="10"/>
  <c r="H253" i="16" s="1"/>
  <c r="C242" i="10"/>
  <c r="F242" i="16" s="1"/>
  <c r="B241" i="10"/>
  <c r="D255" i="16" s="1"/>
  <c r="D239" i="10"/>
  <c r="H224" i="16" s="1"/>
  <c r="C238" i="10"/>
  <c r="F232" i="16" s="1"/>
  <c r="B237" i="10"/>
  <c r="D246" i="16" s="1"/>
  <c r="D235" i="10"/>
  <c r="H244" i="16" s="1"/>
  <c r="C234" i="10"/>
  <c r="F210" i="16" s="1"/>
  <c r="B233" i="10"/>
  <c r="D247" i="16" s="1"/>
  <c r="D231" i="10"/>
  <c r="H216" i="16" s="1"/>
  <c r="C230" i="10"/>
  <c r="F250" i="16" s="1"/>
  <c r="B229" i="10"/>
  <c r="D235" i="16" s="1"/>
  <c r="D227" i="10"/>
  <c r="H228" i="16" s="1"/>
  <c r="C226" i="10"/>
  <c r="F229" i="16" s="1"/>
  <c r="B225" i="10"/>
  <c r="D203" i="16" s="1"/>
  <c r="D223" i="10"/>
  <c r="H231" i="16" s="1"/>
  <c r="C222" i="10"/>
  <c r="F237" i="16" s="1"/>
  <c r="B221" i="10"/>
  <c r="D222" i="16" s="1"/>
  <c r="D219" i="10"/>
  <c r="H233" i="16" s="1"/>
  <c r="C218" i="10"/>
  <c r="F214" i="16" s="1"/>
  <c r="B217" i="10"/>
  <c r="D215" i="16" s="1"/>
  <c r="D215" i="10"/>
  <c r="H211" i="16" s="1"/>
  <c r="C214" i="10"/>
  <c r="F225" i="16" s="1"/>
  <c r="B213" i="10"/>
  <c r="D221" i="16" s="1"/>
  <c r="D211" i="10"/>
  <c r="H202" i="16" s="1"/>
  <c r="C210" i="10"/>
  <c r="F195" i="16" s="1"/>
  <c r="B209" i="10"/>
  <c r="D207" i="16" s="1"/>
  <c r="D207" i="10"/>
  <c r="H208" i="16" s="1"/>
  <c r="C206" i="10"/>
  <c r="F197" i="16" s="1"/>
  <c r="B205" i="10"/>
  <c r="D191" i="16" s="1"/>
  <c r="D203" i="10"/>
  <c r="H205" i="16" s="1"/>
  <c r="C202" i="10"/>
  <c r="F217" i="16" s="1"/>
  <c r="B201" i="10"/>
  <c r="D219" i="16" s="1"/>
  <c r="D199" i="10"/>
  <c r="H182" i="16" s="1"/>
  <c r="C198" i="10"/>
  <c r="F218" i="16" s="1"/>
  <c r="B197" i="10"/>
  <c r="D223" i="16" s="1"/>
  <c r="D195" i="10"/>
  <c r="H209" i="16" s="1"/>
  <c r="C194" i="10"/>
  <c r="F200" i="16" s="1"/>
  <c r="B193" i="10"/>
  <c r="D199" i="16" s="1"/>
  <c r="D191" i="10"/>
  <c r="H180" i="16" s="1"/>
  <c r="C190" i="10"/>
  <c r="F201" i="16" s="1"/>
  <c r="B189" i="10"/>
  <c r="D183" i="16" s="1"/>
  <c r="D187" i="10"/>
  <c r="H186" i="16" s="1"/>
  <c r="C186" i="10"/>
  <c r="F192" i="16" s="1"/>
  <c r="B185" i="10"/>
  <c r="D184" i="16" s="1"/>
  <c r="D183" i="10"/>
  <c r="H193" i="16" s="1"/>
  <c r="C182" i="10"/>
  <c r="F173" i="16" s="1"/>
  <c r="B181" i="10"/>
  <c r="D167" i="16" s="1"/>
  <c r="D179" i="10"/>
  <c r="H181" i="16" s="1"/>
  <c r="C178" i="10"/>
  <c r="F176" i="16" s="1"/>
  <c r="B177" i="10"/>
  <c r="D154" i="16" s="1"/>
  <c r="D175" i="10"/>
  <c r="H171" i="16" s="1"/>
  <c r="C298" i="10"/>
  <c r="F289" i="16" s="1"/>
  <c r="C294" i="10"/>
  <c r="F307" i="16" s="1"/>
  <c r="C290" i="10"/>
  <c r="F296" i="16" s="1"/>
  <c r="C286" i="10"/>
  <c r="F285" i="16" s="1"/>
  <c r="C282" i="10"/>
  <c r="F261" i="16" s="1"/>
  <c r="B258" i="10"/>
  <c r="D259" i="16" s="1"/>
  <c r="D257" i="10"/>
  <c r="H263" i="16" s="1"/>
  <c r="B255" i="10"/>
  <c r="D243" i="16" s="1"/>
  <c r="C252" i="10"/>
  <c r="F251" i="16" s="1"/>
  <c r="D251" i="10"/>
  <c r="H249" i="16" s="1"/>
  <c r="B250" i="10"/>
  <c r="D262" i="16" s="1"/>
  <c r="D249" i="10"/>
  <c r="H252" i="16" s="1"/>
  <c r="B247" i="10"/>
  <c r="D264" i="16" s="1"/>
  <c r="D244" i="10"/>
  <c r="H227" i="16" s="1"/>
  <c r="C243" i="10"/>
  <c r="F253" i="16" s="1"/>
  <c r="B242" i="10"/>
  <c r="D242" i="16" s="1"/>
  <c r="D240" i="10"/>
  <c r="H236" i="16" s="1"/>
  <c r="C239" i="10"/>
  <c r="F224" i="16" s="1"/>
  <c r="B238" i="10"/>
  <c r="D232" i="16" s="1"/>
  <c r="D236" i="10"/>
  <c r="H240" i="16" s="1"/>
  <c r="C235" i="10"/>
  <c r="F244" i="16" s="1"/>
  <c r="B234" i="10"/>
  <c r="D210" i="16" s="1"/>
  <c r="D232" i="10"/>
  <c r="H212" i="16" s="1"/>
  <c r="C231" i="10"/>
  <c r="F216" i="16" s="1"/>
  <c r="B230" i="10"/>
  <c r="D250" i="16" s="1"/>
  <c r="D228" i="10"/>
  <c r="H220" i="16" s="1"/>
  <c r="C227" i="10"/>
  <c r="F228" i="16" s="1"/>
  <c r="B226" i="10"/>
  <c r="D229" i="16" s="1"/>
  <c r="D224" i="10"/>
  <c r="H234" i="16" s="1"/>
  <c r="C223" i="10"/>
  <c r="F231" i="16" s="1"/>
  <c r="B222" i="10"/>
  <c r="D237" i="16" s="1"/>
  <c r="D220" i="10"/>
  <c r="H238" i="16" s="1"/>
  <c r="C219" i="10"/>
  <c r="F233" i="16" s="1"/>
  <c r="B218" i="10"/>
  <c r="D214" i="16" s="1"/>
  <c r="D216" i="10"/>
  <c r="H206" i="16" s="1"/>
  <c r="C215" i="10"/>
  <c r="F211" i="16" s="1"/>
  <c r="B214" i="10"/>
  <c r="D225" i="16" s="1"/>
  <c r="D212" i="10"/>
  <c r="H179" i="16" s="1"/>
  <c r="C211" i="10"/>
  <c r="F202" i="16" s="1"/>
  <c r="B210" i="10"/>
  <c r="D195" i="16" s="1"/>
  <c r="D208" i="10"/>
  <c r="H204" i="16" s="1"/>
  <c r="C207" i="10"/>
  <c r="F208" i="16" s="1"/>
  <c r="B206" i="10"/>
  <c r="D197" i="16" s="1"/>
  <c r="D204" i="10"/>
  <c r="H213" i="16" s="1"/>
  <c r="C203" i="10"/>
  <c r="F205" i="16" s="1"/>
  <c r="B202" i="10"/>
  <c r="D217" i="16" s="1"/>
  <c r="D200" i="10"/>
  <c r="H198" i="16" s="1"/>
  <c r="C199" i="10"/>
  <c r="F182" i="16" s="1"/>
  <c r="B198" i="10"/>
  <c r="D218" i="16" s="1"/>
  <c r="D196" i="10"/>
  <c r="H175" i="16" s="1"/>
  <c r="C195" i="10"/>
  <c r="F209" i="16" s="1"/>
  <c r="B194" i="10"/>
  <c r="D200" i="16" s="1"/>
  <c r="D192" i="10"/>
  <c r="H194" i="16" s="1"/>
  <c r="C191" i="10"/>
  <c r="F180" i="16" s="1"/>
  <c r="B190" i="10"/>
  <c r="D201" i="16" s="1"/>
  <c r="D188" i="10"/>
  <c r="H185" i="16" s="1"/>
  <c r="C187" i="10"/>
  <c r="F186" i="16" s="1"/>
  <c r="B186" i="10"/>
  <c r="D192" i="16" s="1"/>
  <c r="D184" i="10"/>
  <c r="H196" i="16" s="1"/>
  <c r="C183" i="10"/>
  <c r="F193" i="16" s="1"/>
  <c r="B182" i="10"/>
  <c r="D173" i="16" s="1"/>
  <c r="B279" i="10"/>
  <c r="D288" i="16" s="1"/>
  <c r="B275" i="10"/>
  <c r="D270" i="16" s="1"/>
  <c r="B271" i="10"/>
  <c r="D282" i="16" s="1"/>
  <c r="B267" i="10"/>
  <c r="D280" i="16" s="1"/>
  <c r="B263" i="10"/>
  <c r="D266" i="16" s="1"/>
  <c r="B259" i="10"/>
  <c r="D256" i="16" s="1"/>
  <c r="D256" i="10"/>
  <c r="H254" i="16" s="1"/>
  <c r="D255" i="10"/>
  <c r="H243" i="16" s="1"/>
  <c r="B254" i="10"/>
  <c r="D239" i="16" s="1"/>
  <c r="B249" i="10"/>
  <c r="D252" i="16" s="1"/>
  <c r="D241" i="10"/>
  <c r="H255" i="16" s="1"/>
  <c r="D237" i="10"/>
  <c r="H246" i="16" s="1"/>
  <c r="D233" i="10"/>
  <c r="H247" i="16" s="1"/>
  <c r="B347" i="10"/>
  <c r="D347" i="16" s="1"/>
  <c r="B339" i="10"/>
  <c r="D333" i="16" s="1"/>
  <c r="B331" i="10"/>
  <c r="D325" i="16" s="1"/>
  <c r="B323" i="10"/>
  <c r="D314" i="16" s="1"/>
  <c r="B315" i="10"/>
  <c r="D318" i="16" s="1"/>
  <c r="B307" i="10"/>
  <c r="D305" i="16" s="1"/>
  <c r="D300" i="10"/>
  <c r="H291" i="16" s="1"/>
  <c r="D296" i="10"/>
  <c r="H287" i="16" s="1"/>
  <c r="D292" i="10"/>
  <c r="H299" i="16" s="1"/>
  <c r="D288" i="10"/>
  <c r="H293" i="16" s="1"/>
  <c r="D284" i="10"/>
  <c r="H269" i="16" s="1"/>
  <c r="D280" i="10"/>
  <c r="H278" i="16" s="1"/>
  <c r="D277" i="10"/>
  <c r="H271" i="16" s="1"/>
  <c r="C276" i="10"/>
  <c r="F267" i="16" s="1"/>
  <c r="D273" i="10"/>
  <c r="H276" i="16" s="1"/>
  <c r="C272" i="10"/>
  <c r="F268" i="16" s="1"/>
  <c r="D269" i="10"/>
  <c r="H258" i="16" s="1"/>
  <c r="C268" i="10"/>
  <c r="F279" i="16" s="1"/>
  <c r="D265" i="10"/>
  <c r="H283" i="16" s="1"/>
  <c r="C264" i="10"/>
  <c r="F257" i="16" s="1"/>
  <c r="D261" i="10"/>
  <c r="H277" i="16" s="1"/>
  <c r="C260" i="10"/>
  <c r="F230" i="16" s="1"/>
  <c r="C256" i="10"/>
  <c r="F254" i="16" s="1"/>
  <c r="C251" i="10"/>
  <c r="F249" i="16" s="1"/>
  <c r="C246" i="10"/>
  <c r="F245" i="16" s="1"/>
  <c r="D245" i="10"/>
  <c r="H248" i="16" s="1"/>
  <c r="C244" i="10"/>
  <c r="F227" i="16" s="1"/>
  <c r="D242" i="10"/>
  <c r="H242" i="16" s="1"/>
  <c r="C241" i="10"/>
  <c r="F255" i="16" s="1"/>
  <c r="C240" i="10"/>
  <c r="F236" i="16" s="1"/>
  <c r="D238" i="10"/>
  <c r="H232" i="16" s="1"/>
  <c r="C237" i="10"/>
  <c r="F246" i="16" s="1"/>
  <c r="C236" i="10"/>
  <c r="F240" i="16" s="1"/>
  <c r="D234" i="10"/>
  <c r="H210" i="16" s="1"/>
  <c r="C233" i="10"/>
  <c r="F247" i="16" s="1"/>
  <c r="C232" i="10"/>
  <c r="F212" i="16" s="1"/>
  <c r="D230" i="10"/>
  <c r="H250" i="16" s="1"/>
  <c r="C229" i="10"/>
  <c r="F235" i="16" s="1"/>
  <c r="C228" i="10"/>
  <c r="F220" i="16" s="1"/>
  <c r="D226" i="10"/>
  <c r="H229" i="16" s="1"/>
  <c r="C225" i="10"/>
  <c r="F203" i="16" s="1"/>
  <c r="C224" i="10"/>
  <c r="F234" i="16" s="1"/>
  <c r="D222" i="10"/>
  <c r="H237" i="16" s="1"/>
  <c r="C221" i="10"/>
  <c r="F222" i="16" s="1"/>
  <c r="C220" i="10"/>
  <c r="F238" i="16" s="1"/>
  <c r="D218" i="10"/>
  <c r="H214" i="16" s="1"/>
  <c r="C217" i="10"/>
  <c r="F215" i="16" s="1"/>
  <c r="C216" i="10"/>
  <c r="F206" i="16" s="1"/>
  <c r="D214" i="10"/>
  <c r="H225" i="16" s="1"/>
  <c r="C213" i="10"/>
  <c r="F221" i="16" s="1"/>
  <c r="C212" i="10"/>
  <c r="F179" i="16" s="1"/>
  <c r="D210" i="10"/>
  <c r="H195" i="16" s="1"/>
  <c r="C209" i="10"/>
  <c r="F207" i="16" s="1"/>
  <c r="C208" i="10"/>
  <c r="F204" i="16" s="1"/>
  <c r="D206" i="10"/>
  <c r="H197" i="16" s="1"/>
  <c r="C205" i="10"/>
  <c r="F191" i="16" s="1"/>
  <c r="C204" i="10"/>
  <c r="F213" i="16" s="1"/>
  <c r="D202" i="10"/>
  <c r="H217" i="16" s="1"/>
  <c r="C201" i="10"/>
  <c r="F219" i="16" s="1"/>
  <c r="C200" i="10"/>
  <c r="F198" i="16" s="1"/>
  <c r="D198" i="10"/>
  <c r="H218" i="16" s="1"/>
  <c r="C197" i="10"/>
  <c r="F223" i="16" s="1"/>
  <c r="C196" i="10"/>
  <c r="F175" i="16" s="1"/>
  <c r="D194" i="10"/>
  <c r="H200" i="16" s="1"/>
  <c r="C193" i="10"/>
  <c r="F199" i="16" s="1"/>
  <c r="C192" i="10"/>
  <c r="F194" i="16" s="1"/>
  <c r="D190" i="10"/>
  <c r="H201" i="16" s="1"/>
  <c r="C189" i="10"/>
  <c r="F183" i="16" s="1"/>
  <c r="C188" i="10"/>
  <c r="F185" i="16" s="1"/>
  <c r="D186" i="10"/>
  <c r="H192" i="16" s="1"/>
  <c r="C185" i="10"/>
  <c r="F184" i="16" s="1"/>
  <c r="C184" i="10"/>
  <c r="F196" i="16" s="1"/>
  <c r="D182" i="10"/>
  <c r="H173" i="16" s="1"/>
  <c r="D181" i="10"/>
  <c r="H167" i="16" s="1"/>
  <c r="C179" i="10"/>
  <c r="F181" i="16" s="1"/>
  <c r="C176" i="10"/>
  <c r="F160" i="16" s="1"/>
  <c r="D174" i="10"/>
  <c r="H147" i="16" s="1"/>
  <c r="C173" i="10"/>
  <c r="F178" i="16" s="1"/>
  <c r="B172" i="10"/>
  <c r="D166" i="16" s="1"/>
  <c r="D170" i="10"/>
  <c r="H174" i="16" s="1"/>
  <c r="C169" i="10"/>
  <c r="F169" i="16" s="1"/>
  <c r="B168" i="10"/>
  <c r="D187" i="16" s="1"/>
  <c r="D166" i="10"/>
  <c r="H172" i="16" s="1"/>
  <c r="C165" i="10"/>
  <c r="F170" i="16" s="1"/>
  <c r="B164" i="10"/>
  <c r="D141" i="16" s="1"/>
  <c r="D162" i="10"/>
  <c r="H162" i="16" s="1"/>
  <c r="C161" i="10"/>
  <c r="F177" i="16" s="1"/>
  <c r="B160" i="10"/>
  <c r="D149" i="16" s="1"/>
  <c r="D158" i="10"/>
  <c r="H165" i="16" s="1"/>
  <c r="C157" i="10"/>
  <c r="F156" i="16" s="1"/>
  <c r="B156" i="10"/>
  <c r="D164" i="16" s="1"/>
  <c r="D154" i="10"/>
  <c r="H163" i="16" s="1"/>
  <c r="C153" i="10"/>
  <c r="F153" i="16" s="1"/>
  <c r="B152" i="10"/>
  <c r="D130" i="16" s="1"/>
  <c r="D150" i="10"/>
  <c r="H159" i="16" s="1"/>
  <c r="C149" i="10"/>
  <c r="F152" i="16" s="1"/>
  <c r="B148" i="10"/>
  <c r="D157" i="16" s="1"/>
  <c r="D146" i="10"/>
  <c r="H126" i="16" s="1"/>
  <c r="C145" i="10"/>
  <c r="F145" i="16" s="1"/>
  <c r="B144" i="10"/>
  <c r="D121" i="16" s="1"/>
  <c r="D142" i="10"/>
  <c r="H138" i="16" s="1"/>
  <c r="C141" i="10"/>
  <c r="F136" i="16" s="1"/>
  <c r="B140" i="10"/>
  <c r="D137" i="16" s="1"/>
  <c r="D138" i="10"/>
  <c r="H93" i="16" s="1"/>
  <c r="C137" i="10"/>
  <c r="F120" i="16" s="1"/>
  <c r="B136" i="10"/>
  <c r="D150" i="16" s="1"/>
  <c r="D134" i="10"/>
  <c r="H134" i="16" s="1"/>
  <c r="C133" i="10"/>
  <c r="F133" i="16" s="1"/>
  <c r="B132" i="10"/>
  <c r="D144" i="16" s="1"/>
  <c r="D130" i="10"/>
  <c r="H135" i="16" s="1"/>
  <c r="C129" i="10"/>
  <c r="F122" i="16" s="1"/>
  <c r="B277" i="10"/>
  <c r="D271" i="16" s="1"/>
  <c r="B273" i="10"/>
  <c r="D276" i="16" s="1"/>
  <c r="B269" i="10"/>
  <c r="D258" i="16" s="1"/>
  <c r="B265" i="10"/>
  <c r="D283" i="16" s="1"/>
  <c r="B261" i="10"/>
  <c r="D277" i="16" s="1"/>
  <c r="B257" i="10"/>
  <c r="D263" i="16" s="1"/>
  <c r="B251" i="10"/>
  <c r="D249" i="16" s="1"/>
  <c r="D248" i="10"/>
  <c r="H241" i="16" s="1"/>
  <c r="D247" i="10"/>
  <c r="H264" i="16" s="1"/>
  <c r="B246" i="10"/>
  <c r="D245" i="16" s="1"/>
  <c r="B244" i="10"/>
  <c r="D227" i="16" s="1"/>
  <c r="B243" i="10"/>
  <c r="D253" i="16" s="1"/>
  <c r="B240" i="10"/>
  <c r="D236" i="16" s="1"/>
  <c r="B239" i="10"/>
  <c r="D224" i="16" s="1"/>
  <c r="B236" i="10"/>
  <c r="D240" i="16" s="1"/>
  <c r="B235" i="10"/>
  <c r="D244" i="16" s="1"/>
  <c r="B232" i="10"/>
  <c r="D212" i="16" s="1"/>
  <c r="B231" i="10"/>
  <c r="D216" i="16" s="1"/>
  <c r="B228" i="10"/>
  <c r="D220" i="16" s="1"/>
  <c r="B227" i="10"/>
  <c r="D228" i="16" s="1"/>
  <c r="B224" i="10"/>
  <c r="D234" i="16" s="1"/>
  <c r="B223" i="10"/>
  <c r="D231" i="16" s="1"/>
  <c r="B220" i="10"/>
  <c r="D238" i="16" s="1"/>
  <c r="B219" i="10"/>
  <c r="D233" i="16" s="1"/>
  <c r="B216" i="10"/>
  <c r="D206" i="16" s="1"/>
  <c r="B215" i="10"/>
  <c r="D211" i="16" s="1"/>
  <c r="B212" i="10"/>
  <c r="D179" i="16" s="1"/>
  <c r="B211" i="10"/>
  <c r="D202" i="16" s="1"/>
  <c r="B208" i="10"/>
  <c r="D204" i="16" s="1"/>
  <c r="B207" i="10"/>
  <c r="D208" i="16" s="1"/>
  <c r="B204" i="10"/>
  <c r="D213" i="16" s="1"/>
  <c r="B203" i="10"/>
  <c r="D205" i="16" s="1"/>
  <c r="B200" i="10"/>
  <c r="D198" i="16" s="1"/>
  <c r="B199" i="10"/>
  <c r="D182" i="16" s="1"/>
  <c r="B196" i="10"/>
  <c r="D175" i="16" s="1"/>
  <c r="B195" i="10"/>
  <c r="D209" i="16" s="1"/>
  <c r="B192" i="10"/>
  <c r="D194" i="16" s="1"/>
  <c r="B191" i="10"/>
  <c r="D180" i="16" s="1"/>
  <c r="B188" i="10"/>
  <c r="D185" i="16" s="1"/>
  <c r="B187" i="10"/>
  <c r="D186" i="16" s="1"/>
  <c r="B184" i="10"/>
  <c r="D196" i="16" s="1"/>
  <c r="B183" i="10"/>
  <c r="D193" i="16" s="1"/>
  <c r="C181" i="10"/>
  <c r="F167" i="16" s="1"/>
  <c r="D180" i="10"/>
  <c r="H168" i="16" s="1"/>
  <c r="B179" i="10"/>
  <c r="D181" i="16" s="1"/>
  <c r="D178" i="10"/>
  <c r="H176" i="16" s="1"/>
  <c r="B176" i="10"/>
  <c r="D160" i="16" s="1"/>
  <c r="C174" i="10"/>
  <c r="F147" i="16" s="1"/>
  <c r="B173" i="10"/>
  <c r="D178" i="16" s="1"/>
  <c r="D171" i="10"/>
  <c r="H190" i="16" s="1"/>
  <c r="C170" i="10"/>
  <c r="F174" i="16" s="1"/>
  <c r="B169" i="10"/>
  <c r="D169" i="16" s="1"/>
  <c r="D167" i="10"/>
  <c r="H188" i="16" s="1"/>
  <c r="C166" i="10"/>
  <c r="F172" i="16" s="1"/>
  <c r="B165" i="10"/>
  <c r="D170" i="16" s="1"/>
  <c r="D163" i="10"/>
  <c r="H189" i="16" s="1"/>
  <c r="C162" i="10"/>
  <c r="F162" i="16" s="1"/>
  <c r="B161" i="10"/>
  <c r="D177" i="16" s="1"/>
  <c r="D159" i="10"/>
  <c r="H158" i="16" s="1"/>
  <c r="C158" i="10"/>
  <c r="F165" i="16" s="1"/>
  <c r="B157" i="10"/>
  <c r="D156" i="16" s="1"/>
  <c r="D155" i="10"/>
  <c r="H155" i="16" s="1"/>
  <c r="C154" i="10"/>
  <c r="F163" i="16" s="1"/>
  <c r="B153" i="10"/>
  <c r="D153" i="16" s="1"/>
  <c r="D151" i="10"/>
  <c r="H146" i="16" s="1"/>
  <c r="C150" i="10"/>
  <c r="F159" i="16" s="1"/>
  <c r="B149" i="10"/>
  <c r="D152" i="16" s="1"/>
  <c r="D147" i="10"/>
  <c r="H142" i="16" s="1"/>
  <c r="C146" i="10"/>
  <c r="F126" i="16" s="1"/>
  <c r="B145" i="10"/>
  <c r="D145" i="16" s="1"/>
  <c r="D143" i="10"/>
  <c r="H124" i="16" s="1"/>
  <c r="C142" i="10"/>
  <c r="F138" i="16" s="1"/>
  <c r="B141" i="10"/>
  <c r="D136" i="16" s="1"/>
  <c r="D139" i="10"/>
  <c r="H148" i="16" s="1"/>
  <c r="C138" i="10"/>
  <c r="F93" i="16" s="1"/>
  <c r="B137" i="10"/>
  <c r="D120" i="16" s="1"/>
  <c r="D135" i="10"/>
  <c r="H140" i="16" s="1"/>
  <c r="C134" i="10"/>
  <c r="F134" i="16" s="1"/>
  <c r="B133" i="10"/>
  <c r="D133" i="16" s="1"/>
  <c r="D131" i="10"/>
  <c r="H161" i="16" s="1"/>
  <c r="C130" i="10"/>
  <c r="F135" i="16" s="1"/>
  <c r="B129" i="10"/>
  <c r="D122" i="16" s="1"/>
  <c r="B343" i="10"/>
  <c r="D345" i="16" s="1"/>
  <c r="B311" i="10"/>
  <c r="D313" i="16" s="1"/>
  <c r="C291" i="10"/>
  <c r="F303" i="16" s="1"/>
  <c r="D229" i="10"/>
  <c r="H235" i="16" s="1"/>
  <c r="D221" i="10"/>
  <c r="H222" i="16" s="1"/>
  <c r="D213" i="10"/>
  <c r="H221" i="16" s="1"/>
  <c r="D205" i="10"/>
  <c r="H191" i="16" s="1"/>
  <c r="D197" i="10"/>
  <c r="H223" i="16" s="1"/>
  <c r="D189" i="10"/>
  <c r="H183" i="16" s="1"/>
  <c r="B180" i="10"/>
  <c r="D168" i="16" s="1"/>
  <c r="D177" i="10"/>
  <c r="H154" i="16" s="1"/>
  <c r="D176" i="10"/>
  <c r="H160" i="16" s="1"/>
  <c r="B175" i="10"/>
  <c r="D171" i="16" s="1"/>
  <c r="B174" i="10"/>
  <c r="D147" i="16" s="1"/>
  <c r="B171" i="10"/>
  <c r="D190" i="16" s="1"/>
  <c r="B170" i="10"/>
  <c r="D174" i="16" s="1"/>
  <c r="B167" i="10"/>
  <c r="D188" i="16" s="1"/>
  <c r="B166" i="10"/>
  <c r="D172" i="16" s="1"/>
  <c r="B163" i="10"/>
  <c r="D189" i="16" s="1"/>
  <c r="B162" i="10"/>
  <c r="D162" i="16" s="1"/>
  <c r="B159" i="10"/>
  <c r="D158" i="16" s="1"/>
  <c r="B158" i="10"/>
  <c r="D165" i="16" s="1"/>
  <c r="B155" i="10"/>
  <c r="D155" i="16" s="1"/>
  <c r="B154" i="10"/>
  <c r="D163" i="16" s="1"/>
  <c r="B151" i="10"/>
  <c r="D146" i="16" s="1"/>
  <c r="B150" i="10"/>
  <c r="D159" i="16" s="1"/>
  <c r="B147" i="10"/>
  <c r="D142" i="16" s="1"/>
  <c r="B146" i="10"/>
  <c r="D126" i="16" s="1"/>
  <c r="B143" i="10"/>
  <c r="D124" i="16" s="1"/>
  <c r="B142" i="10"/>
  <c r="D138" i="16" s="1"/>
  <c r="B139" i="10"/>
  <c r="D148" i="16" s="1"/>
  <c r="B138" i="10"/>
  <c r="D93" i="16" s="1"/>
  <c r="B135" i="10"/>
  <c r="D140" i="16" s="1"/>
  <c r="B134" i="10"/>
  <c r="D134" i="16" s="1"/>
  <c r="B131" i="10"/>
  <c r="D161" i="16" s="1"/>
  <c r="B130" i="10"/>
  <c r="D135" i="16" s="1"/>
  <c r="B128" i="10"/>
  <c r="D143" i="16" s="1"/>
  <c r="D126" i="10"/>
  <c r="H132" i="16" s="1"/>
  <c r="C125" i="10"/>
  <c r="F109" i="16" s="1"/>
  <c r="B124" i="10"/>
  <c r="D131" i="16" s="1"/>
  <c r="D122" i="10"/>
  <c r="H115" i="16" s="1"/>
  <c r="C121" i="10"/>
  <c r="F139" i="16" s="1"/>
  <c r="B120" i="10"/>
  <c r="D128" i="16" s="1"/>
  <c r="D118" i="10"/>
  <c r="H113" i="16" s="1"/>
  <c r="C117" i="10"/>
  <c r="F116" i="16" s="1"/>
  <c r="B116" i="10"/>
  <c r="D114" i="16" s="1"/>
  <c r="D114" i="10"/>
  <c r="H123" i="16" s="1"/>
  <c r="C113" i="10"/>
  <c r="F117" i="16" s="1"/>
  <c r="B112" i="10"/>
  <c r="D76" i="16" s="1"/>
  <c r="D110" i="10"/>
  <c r="H106" i="16" s="1"/>
  <c r="C109" i="10"/>
  <c r="F119" i="16" s="1"/>
  <c r="B108" i="10"/>
  <c r="D111" i="16" s="1"/>
  <c r="D106" i="10"/>
  <c r="H108" i="16" s="1"/>
  <c r="C105" i="10"/>
  <c r="F127" i="16" s="1"/>
  <c r="B104" i="10"/>
  <c r="D110" i="16" s="1"/>
  <c r="D102" i="10"/>
  <c r="H87" i="16" s="1"/>
  <c r="C101" i="10"/>
  <c r="F104" i="16" s="1"/>
  <c r="B335" i="10"/>
  <c r="D339" i="16" s="1"/>
  <c r="B303" i="10"/>
  <c r="D306" i="16" s="1"/>
  <c r="C287" i="10"/>
  <c r="F290" i="16" s="1"/>
  <c r="C278" i="10"/>
  <c r="F286" i="16" s="1"/>
  <c r="D275" i="10"/>
  <c r="H270" i="16" s="1"/>
  <c r="C270" i="10"/>
  <c r="F260" i="16" s="1"/>
  <c r="D267" i="10"/>
  <c r="H280" i="16" s="1"/>
  <c r="C262" i="10"/>
  <c r="F275" i="16" s="1"/>
  <c r="D259" i="10"/>
  <c r="H256" i="16" s="1"/>
  <c r="C254" i="10"/>
  <c r="F239" i="16" s="1"/>
  <c r="C177" i="10"/>
  <c r="F154" i="16" s="1"/>
  <c r="D127" i="10"/>
  <c r="H151" i="16" s="1"/>
  <c r="C126" i="10"/>
  <c r="F132" i="16" s="1"/>
  <c r="B125" i="10"/>
  <c r="D109" i="16" s="1"/>
  <c r="D123" i="10"/>
  <c r="H112" i="16" s="1"/>
  <c r="C122" i="10"/>
  <c r="F115" i="16" s="1"/>
  <c r="B121" i="10"/>
  <c r="D139" i="16" s="1"/>
  <c r="D119" i="10"/>
  <c r="H125" i="16" s="1"/>
  <c r="C118" i="10"/>
  <c r="F113" i="16" s="1"/>
  <c r="B117" i="10"/>
  <c r="D116" i="16" s="1"/>
  <c r="D115" i="10"/>
  <c r="H129" i="16" s="1"/>
  <c r="C114" i="10"/>
  <c r="F123" i="16" s="1"/>
  <c r="B113" i="10"/>
  <c r="D117" i="16" s="1"/>
  <c r="D111" i="10"/>
  <c r="H97" i="16" s="1"/>
  <c r="C110" i="10"/>
  <c r="F106" i="16" s="1"/>
  <c r="B109" i="10"/>
  <c r="D119" i="16" s="1"/>
  <c r="D107" i="10"/>
  <c r="H107" i="16" s="1"/>
  <c r="C106" i="10"/>
  <c r="F108" i="16" s="1"/>
  <c r="B105" i="10"/>
  <c r="D127" i="16" s="1"/>
  <c r="D103" i="10"/>
  <c r="H118" i="16" s="1"/>
  <c r="C102" i="10"/>
  <c r="F87" i="16" s="1"/>
  <c r="B101" i="10"/>
  <c r="D104" i="16" s="1"/>
  <c r="B327" i="10"/>
  <c r="D328" i="16" s="1"/>
  <c r="C299" i="10"/>
  <c r="F320" i="16" s="1"/>
  <c r="C283" i="10"/>
  <c r="F292" i="16" s="1"/>
  <c r="C248" i="10"/>
  <c r="F241" i="16" s="1"/>
  <c r="D225" i="10"/>
  <c r="H203" i="16" s="1"/>
  <c r="D217" i="10"/>
  <c r="H215" i="16" s="1"/>
  <c r="D209" i="10"/>
  <c r="H207" i="16" s="1"/>
  <c r="D201" i="10"/>
  <c r="H219" i="16" s="1"/>
  <c r="D193" i="10"/>
  <c r="H199" i="16" s="1"/>
  <c r="D185" i="10"/>
  <c r="H184" i="16" s="1"/>
  <c r="B178" i="10"/>
  <c r="D176" i="16" s="1"/>
  <c r="D172" i="10"/>
  <c r="H166" i="16" s="1"/>
  <c r="D168" i="10"/>
  <c r="H187" i="16" s="1"/>
  <c r="D164" i="10"/>
  <c r="H141" i="16" s="1"/>
  <c r="D160" i="10"/>
  <c r="H149" i="16" s="1"/>
  <c r="D156" i="10"/>
  <c r="H164" i="16" s="1"/>
  <c r="D152" i="10"/>
  <c r="H130" i="16" s="1"/>
  <c r="D148" i="10"/>
  <c r="H157" i="16" s="1"/>
  <c r="D144" i="10"/>
  <c r="H121" i="16" s="1"/>
  <c r="D140" i="10"/>
  <c r="H137" i="16" s="1"/>
  <c r="D136" i="10"/>
  <c r="H150" i="16" s="1"/>
  <c r="D132" i="10"/>
  <c r="H144" i="16" s="1"/>
  <c r="D128" i="10"/>
  <c r="H143" i="16" s="1"/>
  <c r="C127" i="10"/>
  <c r="F151" i="16" s="1"/>
  <c r="B126" i="10"/>
  <c r="D132" i="16" s="1"/>
  <c r="D124" i="10"/>
  <c r="H131" i="16" s="1"/>
  <c r="C123" i="10"/>
  <c r="F112" i="16" s="1"/>
  <c r="B122" i="10"/>
  <c r="D115" i="16" s="1"/>
  <c r="D120" i="10"/>
  <c r="H128" i="16" s="1"/>
  <c r="C119" i="10"/>
  <c r="F125" i="16" s="1"/>
  <c r="B118" i="10"/>
  <c r="D113" i="16" s="1"/>
  <c r="D116" i="10"/>
  <c r="H114" i="16" s="1"/>
  <c r="C115" i="10"/>
  <c r="F129" i="16" s="1"/>
  <c r="B114" i="10"/>
  <c r="D123" i="16" s="1"/>
  <c r="D112" i="10"/>
  <c r="H76" i="16" s="1"/>
  <c r="C111" i="10"/>
  <c r="F97" i="16" s="1"/>
  <c r="B110" i="10"/>
  <c r="D106" i="16" s="1"/>
  <c r="D108" i="10"/>
  <c r="H111" i="16" s="1"/>
  <c r="C107" i="10"/>
  <c r="F107" i="16" s="1"/>
  <c r="B106" i="10"/>
  <c r="D108" i="16" s="1"/>
  <c r="D104" i="10"/>
  <c r="H110" i="16" s="1"/>
  <c r="C103" i="10"/>
  <c r="F118" i="16" s="1"/>
  <c r="B102" i="10"/>
  <c r="D87" i="16" s="1"/>
  <c r="D100" i="10"/>
  <c r="H73" i="16" s="1"/>
  <c r="C99" i="10"/>
  <c r="F99" i="16" s="1"/>
  <c r="B98" i="10"/>
  <c r="D96" i="16" s="1"/>
  <c r="D96" i="10"/>
  <c r="H105" i="16" s="1"/>
  <c r="C95" i="10"/>
  <c r="F78" i="16" s="1"/>
  <c r="B94" i="10"/>
  <c r="D90" i="16" s="1"/>
  <c r="D92" i="10"/>
  <c r="H94" i="16" s="1"/>
  <c r="C91" i="10"/>
  <c r="F100" i="16" s="1"/>
  <c r="B90" i="10"/>
  <c r="D79" i="16" s="1"/>
  <c r="D3" i="10"/>
  <c r="H6" i="16" s="1"/>
  <c r="D4" i="10"/>
  <c r="H4" i="16" s="1"/>
  <c r="E352" i="10"/>
  <c r="F349" i="10"/>
  <c r="E348" i="10"/>
  <c r="F345" i="10"/>
  <c r="E344" i="10"/>
  <c r="F341" i="10"/>
  <c r="E340" i="10"/>
  <c r="F337" i="10"/>
  <c r="E336" i="10"/>
  <c r="F333" i="10"/>
  <c r="E332" i="10"/>
  <c r="F329" i="10"/>
  <c r="E328" i="10"/>
  <c r="F325" i="10"/>
  <c r="E324" i="10"/>
  <c r="F321" i="10"/>
  <c r="E320" i="10"/>
  <c r="F317" i="10"/>
  <c r="E316" i="10"/>
  <c r="F313" i="10"/>
  <c r="E312" i="10"/>
  <c r="F309" i="10"/>
  <c r="E308" i="10"/>
  <c r="F305" i="10"/>
  <c r="E304" i="10"/>
  <c r="F301" i="10"/>
  <c r="F350" i="10"/>
  <c r="E349" i="10"/>
  <c r="F346" i="10"/>
  <c r="E345" i="10"/>
  <c r="F342" i="10"/>
  <c r="E341" i="10"/>
  <c r="F338" i="10"/>
  <c r="E337" i="10"/>
  <c r="F334" i="10"/>
  <c r="E333" i="10"/>
  <c r="F330" i="10"/>
  <c r="E329" i="10"/>
  <c r="F326" i="10"/>
  <c r="E325" i="10"/>
  <c r="F322" i="10"/>
  <c r="E321" i="10"/>
  <c r="F318" i="10"/>
  <c r="E317" i="10"/>
  <c r="F314" i="10"/>
  <c r="E313" i="10"/>
  <c r="F310" i="10"/>
  <c r="E309" i="10"/>
  <c r="F306" i="10"/>
  <c r="E305" i="10"/>
  <c r="F302" i="10"/>
  <c r="E301" i="10"/>
  <c r="E351" i="10"/>
  <c r="E347" i="10"/>
  <c r="E343" i="10"/>
  <c r="E339" i="10"/>
  <c r="E335" i="10"/>
  <c r="E331" i="10"/>
  <c r="E327" i="10"/>
  <c r="E323" i="10"/>
  <c r="E319" i="10"/>
  <c r="E315" i="10"/>
  <c r="E311" i="10"/>
  <c r="E307" i="10"/>
  <c r="E303" i="10"/>
  <c r="F300" i="10"/>
  <c r="E299" i="10"/>
  <c r="F296" i="10"/>
  <c r="E295" i="10"/>
  <c r="F292" i="10"/>
  <c r="E291" i="10"/>
  <c r="F288" i="10"/>
  <c r="E287" i="10"/>
  <c r="F284" i="10"/>
  <c r="E283" i="10"/>
  <c r="F280" i="10"/>
  <c r="E300" i="10"/>
  <c r="E298" i="10"/>
  <c r="F297" i="10"/>
  <c r="E292" i="10"/>
  <c r="E290" i="10"/>
  <c r="F289" i="10"/>
  <c r="E284" i="10"/>
  <c r="E282" i="10"/>
  <c r="F281" i="10"/>
  <c r="E279" i="10"/>
  <c r="F276" i="10"/>
  <c r="E275" i="10"/>
  <c r="F272" i="10"/>
  <c r="E271" i="10"/>
  <c r="F268" i="10"/>
  <c r="E267" i="10"/>
  <c r="F264" i="10"/>
  <c r="E263" i="10"/>
  <c r="F260" i="10"/>
  <c r="E259" i="10"/>
  <c r="F256" i="10"/>
  <c r="E255" i="10"/>
  <c r="F252" i="10"/>
  <c r="E251" i="10"/>
  <c r="F248" i="10"/>
  <c r="E247" i="10"/>
  <c r="F351" i="10"/>
  <c r="F347" i="10"/>
  <c r="F343" i="10"/>
  <c r="F339" i="10"/>
  <c r="F335" i="10"/>
  <c r="F331" i="10"/>
  <c r="F327" i="10"/>
  <c r="F323" i="10"/>
  <c r="F319" i="10"/>
  <c r="F315" i="10"/>
  <c r="F311" i="10"/>
  <c r="F307" i="10"/>
  <c r="F303" i="10"/>
  <c r="E296" i="10"/>
  <c r="J287" i="16" s="1"/>
  <c r="K287" i="16" s="1"/>
  <c r="E294" i="10"/>
  <c r="F293" i="10"/>
  <c r="E288" i="10"/>
  <c r="E286" i="10"/>
  <c r="F285" i="10"/>
  <c r="E280" i="10"/>
  <c r="F278" i="10"/>
  <c r="E277" i="10"/>
  <c r="F274" i="10"/>
  <c r="E273" i="10"/>
  <c r="F270" i="10"/>
  <c r="E269" i="10"/>
  <c r="F266" i="10"/>
  <c r="E265" i="10"/>
  <c r="F262" i="10"/>
  <c r="E261" i="10"/>
  <c r="F298" i="10"/>
  <c r="F294" i="10"/>
  <c r="F290" i="10"/>
  <c r="F286" i="10"/>
  <c r="F282" i="10"/>
  <c r="E257" i="10"/>
  <c r="F254" i="10"/>
  <c r="F251" i="10"/>
  <c r="E249" i="10"/>
  <c r="F246" i="10"/>
  <c r="E244" i="10"/>
  <c r="F241" i="10"/>
  <c r="E240" i="10"/>
  <c r="F237" i="10"/>
  <c r="E236" i="10"/>
  <c r="F233" i="10"/>
  <c r="E232" i="10"/>
  <c r="F229" i="10"/>
  <c r="E228" i="10"/>
  <c r="F225" i="10"/>
  <c r="E224" i="10"/>
  <c r="F221" i="10"/>
  <c r="E220" i="10"/>
  <c r="F217" i="10"/>
  <c r="E216" i="10"/>
  <c r="F213" i="10"/>
  <c r="E212" i="10"/>
  <c r="J179" i="16" s="1"/>
  <c r="K179" i="16" s="1"/>
  <c r="F209" i="10"/>
  <c r="E208" i="10"/>
  <c r="F205" i="10"/>
  <c r="E204" i="10"/>
  <c r="J213" i="16" s="1"/>
  <c r="K213" i="16" s="1"/>
  <c r="F201" i="10"/>
  <c r="E200" i="10"/>
  <c r="F197" i="10"/>
  <c r="E196" i="10"/>
  <c r="F193" i="10"/>
  <c r="E192" i="10"/>
  <c r="F189" i="10"/>
  <c r="E188" i="10"/>
  <c r="F185" i="10"/>
  <c r="E184" i="10"/>
  <c r="F181" i="10"/>
  <c r="E180" i="10"/>
  <c r="F177" i="10"/>
  <c r="E176" i="10"/>
  <c r="F352" i="10"/>
  <c r="E350" i="10"/>
  <c r="J349" i="16" s="1"/>
  <c r="K349" i="16" s="1"/>
  <c r="F348" i="10"/>
  <c r="E346" i="10"/>
  <c r="J344" i="16" s="1"/>
  <c r="K344" i="16" s="1"/>
  <c r="F344" i="10"/>
  <c r="E342" i="10"/>
  <c r="J340" i="16" s="1"/>
  <c r="K340" i="16" s="1"/>
  <c r="F340" i="10"/>
  <c r="E338" i="10"/>
  <c r="J329" i="16" s="1"/>
  <c r="K329" i="16" s="1"/>
  <c r="F336" i="10"/>
  <c r="E334" i="10"/>
  <c r="J343" i="16" s="1"/>
  <c r="K343" i="16" s="1"/>
  <c r="F332" i="10"/>
  <c r="E330" i="10"/>
  <c r="J331" i="16" s="1"/>
  <c r="K331" i="16" s="1"/>
  <c r="F328" i="10"/>
  <c r="E326" i="10"/>
  <c r="J332" i="16" s="1"/>
  <c r="K332" i="16" s="1"/>
  <c r="F324" i="10"/>
  <c r="E322" i="10"/>
  <c r="J330" i="16" s="1"/>
  <c r="K330" i="16" s="1"/>
  <c r="F320" i="10"/>
  <c r="E318" i="10"/>
  <c r="J324" i="16" s="1"/>
  <c r="K324" i="16" s="1"/>
  <c r="F316" i="10"/>
  <c r="E314" i="10"/>
  <c r="J322" i="16" s="1"/>
  <c r="K322" i="16" s="1"/>
  <c r="F312" i="10"/>
  <c r="E310" i="10"/>
  <c r="J321" i="16" s="1"/>
  <c r="K321" i="16" s="1"/>
  <c r="F308" i="10"/>
  <c r="E306" i="10"/>
  <c r="F304" i="10"/>
  <c r="E302" i="10"/>
  <c r="J284" i="16" s="1"/>
  <c r="K284" i="16" s="1"/>
  <c r="F299" i="10"/>
  <c r="F295" i="10"/>
  <c r="F291" i="10"/>
  <c r="F287" i="10"/>
  <c r="F283" i="10"/>
  <c r="F279" i="10"/>
  <c r="F277" i="10"/>
  <c r="F275" i="10"/>
  <c r="F273" i="10"/>
  <c r="F271" i="10"/>
  <c r="F269" i="10"/>
  <c r="F267" i="10"/>
  <c r="F265" i="10"/>
  <c r="F263" i="10"/>
  <c r="F261" i="10"/>
  <c r="F259" i="10"/>
  <c r="E256" i="10"/>
  <c r="E254" i="10"/>
  <c r="F253" i="10"/>
  <c r="E248" i="10"/>
  <c r="E246" i="10"/>
  <c r="F245" i="10"/>
  <c r="F242" i="10"/>
  <c r="E241" i="10"/>
  <c r="F238" i="10"/>
  <c r="E237" i="10"/>
  <c r="F234" i="10"/>
  <c r="E233" i="10"/>
  <c r="F230" i="10"/>
  <c r="E229" i="10"/>
  <c r="F226" i="10"/>
  <c r="E225" i="10"/>
  <c r="F222" i="10"/>
  <c r="E221" i="10"/>
  <c r="F218" i="10"/>
  <c r="E217" i="10"/>
  <c r="F214" i="10"/>
  <c r="E213" i="10"/>
  <c r="F210" i="10"/>
  <c r="E209" i="10"/>
  <c r="F206" i="10"/>
  <c r="E205" i="10"/>
  <c r="F202" i="10"/>
  <c r="E201" i="10"/>
  <c r="F198" i="10"/>
  <c r="E197" i="10"/>
  <c r="F194" i="10"/>
  <c r="E193" i="10"/>
  <c r="F190" i="10"/>
  <c r="E189" i="10"/>
  <c r="F186" i="10"/>
  <c r="E185" i="10"/>
  <c r="F182" i="10"/>
  <c r="E276" i="10"/>
  <c r="E272" i="10"/>
  <c r="E268" i="10"/>
  <c r="J279" i="16" s="1"/>
  <c r="K279" i="16" s="1"/>
  <c r="E264" i="10"/>
  <c r="E260" i="10"/>
  <c r="F250" i="10"/>
  <c r="E245" i="10"/>
  <c r="F244" i="10"/>
  <c r="F243" i="10"/>
  <c r="E242" i="10"/>
  <c r="J242" i="16" s="1"/>
  <c r="K242" i="16" s="1"/>
  <c r="F240" i="10"/>
  <c r="F239" i="10"/>
  <c r="E238" i="10"/>
  <c r="F236" i="10"/>
  <c r="F235" i="10"/>
  <c r="E234" i="10"/>
  <c r="F232" i="10"/>
  <c r="F257" i="10"/>
  <c r="E250" i="10"/>
  <c r="F247" i="10"/>
  <c r="E243" i="10"/>
  <c r="E239" i="10"/>
  <c r="E235" i="10"/>
  <c r="E231" i="10"/>
  <c r="J216" i="16" s="1"/>
  <c r="K216" i="16" s="1"/>
  <c r="E227" i="10"/>
  <c r="E223" i="10"/>
  <c r="E219" i="10"/>
  <c r="E215" i="10"/>
  <c r="E211" i="10"/>
  <c r="E207" i="10"/>
  <c r="E203" i="10"/>
  <c r="E199" i="10"/>
  <c r="E195" i="10"/>
  <c r="E191" i="10"/>
  <c r="E187" i="10"/>
  <c r="E183" i="10"/>
  <c r="F180" i="10"/>
  <c r="E178" i="10"/>
  <c r="F175" i="10"/>
  <c r="F172" i="10"/>
  <c r="E171" i="10"/>
  <c r="F168" i="10"/>
  <c r="E167" i="10"/>
  <c r="F164" i="10"/>
  <c r="E163" i="10"/>
  <c r="F160" i="10"/>
  <c r="E159" i="10"/>
  <c r="F156" i="10"/>
  <c r="E155" i="10"/>
  <c r="F152" i="10"/>
  <c r="E151" i="10"/>
  <c r="F148" i="10"/>
  <c r="E147" i="10"/>
  <c r="F144" i="10"/>
  <c r="E143" i="10"/>
  <c r="F140" i="10"/>
  <c r="E139" i="10"/>
  <c r="F136" i="10"/>
  <c r="E135" i="10"/>
  <c r="F132" i="10"/>
  <c r="E131" i="10"/>
  <c r="F128" i="10"/>
  <c r="E297" i="10"/>
  <c r="J297" i="16" s="1"/>
  <c r="K297" i="16" s="1"/>
  <c r="E293" i="10"/>
  <c r="E289" i="10"/>
  <c r="E285" i="10"/>
  <c r="E281" i="10"/>
  <c r="E278" i="10"/>
  <c r="E274" i="10"/>
  <c r="E270" i="10"/>
  <c r="E266" i="10"/>
  <c r="E262" i="10"/>
  <c r="F258" i="10"/>
  <c r="E253" i="10"/>
  <c r="J226" i="16" s="1"/>
  <c r="K226" i="16" s="1"/>
  <c r="E252" i="10"/>
  <c r="J251" i="16" s="1"/>
  <c r="K251" i="16" s="1"/>
  <c r="E177" i="10"/>
  <c r="E175" i="10"/>
  <c r="F173" i="10"/>
  <c r="E172" i="10"/>
  <c r="F169" i="10"/>
  <c r="E168" i="10"/>
  <c r="F165" i="10"/>
  <c r="E164" i="10"/>
  <c r="F161" i="10"/>
  <c r="E160" i="10"/>
  <c r="F157" i="10"/>
  <c r="E156" i="10"/>
  <c r="F153" i="10"/>
  <c r="E152" i="10"/>
  <c r="F149" i="10"/>
  <c r="E148" i="10"/>
  <c r="F145" i="10"/>
  <c r="E144" i="10"/>
  <c r="F141" i="10"/>
  <c r="E140" i="10"/>
  <c r="F137" i="10"/>
  <c r="E136" i="10"/>
  <c r="F133" i="10"/>
  <c r="E132" i="10"/>
  <c r="F129" i="10"/>
  <c r="E128" i="10"/>
  <c r="F249" i="10"/>
  <c r="E181" i="10"/>
  <c r="E127" i="10"/>
  <c r="J151" i="16" s="1"/>
  <c r="K151" i="16" s="1"/>
  <c r="F124" i="10"/>
  <c r="E123" i="10"/>
  <c r="F120" i="10"/>
  <c r="E119" i="10"/>
  <c r="J125" i="16" s="1"/>
  <c r="K125" i="16" s="1"/>
  <c r="F116" i="10"/>
  <c r="E115" i="10"/>
  <c r="F112" i="10"/>
  <c r="E111" i="10"/>
  <c r="J97" i="16" s="1"/>
  <c r="F108" i="10"/>
  <c r="E107" i="10"/>
  <c r="F104" i="10"/>
  <c r="E103" i="10"/>
  <c r="J118" i="16" s="1"/>
  <c r="K118" i="16" s="1"/>
  <c r="E230" i="10"/>
  <c r="F227" i="10"/>
  <c r="F224" i="10"/>
  <c r="E222" i="10"/>
  <c r="J237" i="16" s="1"/>
  <c r="K237" i="16" s="1"/>
  <c r="F219" i="10"/>
  <c r="F216" i="10"/>
  <c r="E214" i="10"/>
  <c r="F211" i="10"/>
  <c r="F208" i="10"/>
  <c r="E206" i="10"/>
  <c r="F203" i="10"/>
  <c r="F200" i="10"/>
  <c r="E198" i="10"/>
  <c r="F195" i="10"/>
  <c r="F192" i="10"/>
  <c r="E190" i="10"/>
  <c r="J201" i="16" s="1"/>
  <c r="K201" i="16" s="1"/>
  <c r="F187" i="10"/>
  <c r="F184" i="10"/>
  <c r="E182" i="10"/>
  <c r="F178" i="10"/>
  <c r="F125" i="10"/>
  <c r="E124" i="10"/>
  <c r="F121" i="10"/>
  <c r="E120" i="10"/>
  <c r="F117" i="10"/>
  <c r="E116" i="10"/>
  <c r="F113" i="10"/>
  <c r="E112" i="10"/>
  <c r="F109" i="10"/>
  <c r="E108" i="10"/>
  <c r="F105" i="10"/>
  <c r="E104" i="10"/>
  <c r="F101" i="10"/>
  <c r="F179" i="10"/>
  <c r="F174" i="10"/>
  <c r="E173" i="10"/>
  <c r="F171" i="10"/>
  <c r="F170" i="10"/>
  <c r="E169" i="10"/>
  <c r="F167" i="10"/>
  <c r="F166" i="10"/>
  <c r="E165" i="10"/>
  <c r="J170" i="16" s="1"/>
  <c r="K170" i="16" s="1"/>
  <c r="F163" i="10"/>
  <c r="F162" i="10"/>
  <c r="E161" i="10"/>
  <c r="F159" i="10"/>
  <c r="F158" i="10"/>
  <c r="E157" i="10"/>
  <c r="F155" i="10"/>
  <c r="F154" i="10"/>
  <c r="E153" i="10"/>
  <c r="F151" i="10"/>
  <c r="F150" i="10"/>
  <c r="E149" i="10"/>
  <c r="F147" i="10"/>
  <c r="F146" i="10"/>
  <c r="E145" i="10"/>
  <c r="F143" i="10"/>
  <c r="F142" i="10"/>
  <c r="E141" i="10"/>
  <c r="F139" i="10"/>
  <c r="F138" i="10"/>
  <c r="E137" i="10"/>
  <c r="F135" i="10"/>
  <c r="F134" i="10"/>
  <c r="E133" i="10"/>
  <c r="J133" i="16" s="1"/>
  <c r="K133" i="16" s="1"/>
  <c r="F131" i="10"/>
  <c r="F130" i="10"/>
  <c r="E129" i="10"/>
  <c r="F126" i="10"/>
  <c r="E125" i="10"/>
  <c r="F122" i="10"/>
  <c r="E121" i="10"/>
  <c r="F118" i="10"/>
  <c r="E117" i="10"/>
  <c r="F114" i="10"/>
  <c r="E113" i="10"/>
  <c r="F110" i="10"/>
  <c r="E109" i="10"/>
  <c r="F106" i="10"/>
  <c r="E105" i="10"/>
  <c r="F102" i="10"/>
  <c r="E101" i="10"/>
  <c r="F98" i="10"/>
  <c r="E97" i="10"/>
  <c r="J91" i="16" s="1"/>
  <c r="F94" i="10"/>
  <c r="E93" i="10"/>
  <c r="F90" i="10"/>
  <c r="D5" i="10"/>
  <c r="H3" i="16" s="1"/>
  <c r="E6" i="10"/>
  <c r="B7" i="10"/>
  <c r="D9" i="16" s="1"/>
  <c r="F7" i="10"/>
  <c r="C8" i="10"/>
  <c r="F20" i="16" s="1"/>
  <c r="D9" i="10"/>
  <c r="H14" i="16" s="1"/>
  <c r="E10" i="10"/>
  <c r="B11" i="10"/>
  <c r="D5" i="16" s="1"/>
  <c r="F11" i="10"/>
  <c r="C12" i="10"/>
  <c r="F8" i="16" s="1"/>
  <c r="D13" i="10"/>
  <c r="H25" i="16" s="1"/>
  <c r="E14" i="10"/>
  <c r="B15" i="10"/>
  <c r="D28" i="16" s="1"/>
  <c r="F15" i="10"/>
  <c r="C16" i="10"/>
  <c r="F15" i="16" s="1"/>
  <c r="D17" i="10"/>
  <c r="H11" i="16" s="1"/>
  <c r="E18" i="10"/>
  <c r="B19" i="10"/>
  <c r="D18" i="16" s="1"/>
  <c r="F19" i="10"/>
  <c r="C20" i="10"/>
  <c r="F22" i="16" s="1"/>
  <c r="D21" i="10"/>
  <c r="H10" i="16" s="1"/>
  <c r="E22" i="10"/>
  <c r="B23" i="10"/>
  <c r="D24" i="16" s="1"/>
  <c r="F23" i="10"/>
  <c r="C24" i="10"/>
  <c r="F29" i="16" s="1"/>
  <c r="D25" i="10"/>
  <c r="H26" i="16" s="1"/>
  <c r="E26" i="10"/>
  <c r="B27" i="10"/>
  <c r="D38" i="16" s="1"/>
  <c r="F27" i="10"/>
  <c r="C28" i="10"/>
  <c r="F21" i="16" s="1"/>
  <c r="D29" i="10"/>
  <c r="H30" i="16" s="1"/>
  <c r="E30" i="10"/>
  <c r="B31" i="10"/>
  <c r="D32" i="16" s="1"/>
  <c r="F31" i="10"/>
  <c r="C32" i="10"/>
  <c r="F42" i="16" s="1"/>
  <c r="D33" i="10"/>
  <c r="H16" i="16" s="1"/>
  <c r="E34" i="10"/>
  <c r="B35" i="10"/>
  <c r="D34" i="16" s="1"/>
  <c r="F35" i="10"/>
  <c r="C36" i="10"/>
  <c r="F41" i="16" s="1"/>
  <c r="D37" i="10"/>
  <c r="H31" i="16" s="1"/>
  <c r="E38" i="10"/>
  <c r="B39" i="10"/>
  <c r="D36" i="16" s="1"/>
  <c r="F39" i="10"/>
  <c r="C40" i="10"/>
  <c r="F33" i="16" s="1"/>
  <c r="D41" i="10"/>
  <c r="H61" i="16" s="1"/>
  <c r="E42" i="10"/>
  <c r="B43" i="10"/>
  <c r="D40" i="16" s="1"/>
  <c r="F43" i="10"/>
  <c r="C44" i="10"/>
  <c r="F37" i="16" s="1"/>
  <c r="D45" i="10"/>
  <c r="H44" i="16" s="1"/>
  <c r="E46" i="10"/>
  <c r="B47" i="10"/>
  <c r="D43" i="16" s="1"/>
  <c r="F47" i="10"/>
  <c r="C48" i="10"/>
  <c r="F39" i="16" s="1"/>
  <c r="D49" i="10"/>
  <c r="H52" i="16" s="1"/>
  <c r="E50" i="10"/>
  <c r="B51" i="10"/>
  <c r="D54" i="16" s="1"/>
  <c r="F51" i="10"/>
  <c r="C52" i="10"/>
  <c r="F55" i="16" s="1"/>
  <c r="D53" i="10"/>
  <c r="H46" i="16" s="1"/>
  <c r="E54" i="10"/>
  <c r="B55" i="10"/>
  <c r="D77" i="16" s="1"/>
  <c r="F55" i="10"/>
  <c r="C56" i="10"/>
  <c r="F48" i="16" s="1"/>
  <c r="D57" i="10"/>
  <c r="H50" i="16" s="1"/>
  <c r="E58" i="10"/>
  <c r="B59" i="10"/>
  <c r="D56" i="16" s="1"/>
  <c r="F59" i="10"/>
  <c r="C60" i="10"/>
  <c r="F57" i="16" s="1"/>
  <c r="D61" i="10"/>
  <c r="H63" i="16" s="1"/>
  <c r="E62" i="10"/>
  <c r="B63" i="10"/>
  <c r="D58" i="16" s="1"/>
  <c r="F63" i="10"/>
  <c r="C64" i="10"/>
  <c r="F81" i="16" s="1"/>
  <c r="D65" i="10"/>
  <c r="H49" i="16" s="1"/>
  <c r="E66" i="10"/>
  <c r="B67" i="10"/>
  <c r="D68" i="16" s="1"/>
  <c r="F67" i="10"/>
  <c r="C68" i="10"/>
  <c r="F75" i="16" s="1"/>
  <c r="D69" i="10"/>
  <c r="H69" i="16" s="1"/>
  <c r="E70" i="10"/>
  <c r="B71" i="10"/>
  <c r="D71" i="16" s="1"/>
  <c r="F71" i="10"/>
  <c r="C72" i="10"/>
  <c r="F83" i="16" s="1"/>
  <c r="D73" i="10"/>
  <c r="H70" i="16" s="1"/>
  <c r="E74" i="10"/>
  <c r="B75" i="10"/>
  <c r="D60" i="16" s="1"/>
  <c r="F75" i="10"/>
  <c r="C76" i="10"/>
  <c r="F101" i="16" s="1"/>
  <c r="D77" i="10"/>
  <c r="H98" i="16" s="1"/>
  <c r="E78" i="10"/>
  <c r="B79" i="10"/>
  <c r="D103" i="16" s="1"/>
  <c r="F79" i="10"/>
  <c r="C80" i="10"/>
  <c r="F102" i="16" s="1"/>
  <c r="D81" i="10"/>
  <c r="H66" i="16" s="1"/>
  <c r="E82" i="10"/>
  <c r="B83" i="10"/>
  <c r="D82" i="16" s="1"/>
  <c r="F83" i="10"/>
  <c r="C84" i="10"/>
  <c r="F74" i="16" s="1"/>
  <c r="D85" i="10"/>
  <c r="H72" i="16" s="1"/>
  <c r="E86" i="10"/>
  <c r="B87" i="10"/>
  <c r="D88" i="16" s="1"/>
  <c r="F87" i="10"/>
  <c r="C88" i="10"/>
  <c r="F80" i="16" s="1"/>
  <c r="D89" i="10"/>
  <c r="H85" i="16" s="1"/>
  <c r="E91" i="10"/>
  <c r="C92" i="10"/>
  <c r="F94" i="16" s="1"/>
  <c r="F93" i="10"/>
  <c r="D94" i="10"/>
  <c r="H90" i="16" s="1"/>
  <c r="B95" i="10"/>
  <c r="D78" i="16" s="1"/>
  <c r="F96" i="10"/>
  <c r="C97" i="10"/>
  <c r="F91" i="16" s="1"/>
  <c r="E99" i="10"/>
  <c r="C100" i="10"/>
  <c r="F73" i="16" s="1"/>
  <c r="C104" i="10"/>
  <c r="F110" i="16" s="1"/>
  <c r="F107" i="10"/>
  <c r="C112" i="10"/>
  <c r="F76" i="16" s="1"/>
  <c r="F115" i="10"/>
  <c r="C120" i="10"/>
  <c r="F128" i="16" s="1"/>
  <c r="F123" i="10"/>
  <c r="C128" i="10"/>
  <c r="F143" i="16" s="1"/>
  <c r="E130" i="10"/>
  <c r="C132" i="10"/>
  <c r="F144" i="16" s="1"/>
  <c r="E134" i="10"/>
  <c r="C136" i="10"/>
  <c r="F150" i="16" s="1"/>
  <c r="E138" i="10"/>
  <c r="C140" i="10"/>
  <c r="F137" i="16" s="1"/>
  <c r="E142" i="10"/>
  <c r="C144" i="10"/>
  <c r="F121" i="16" s="1"/>
  <c r="E146" i="10"/>
  <c r="C148" i="10"/>
  <c r="F157" i="16" s="1"/>
  <c r="E150" i="10"/>
  <c r="J159" i="16" s="1"/>
  <c r="K159" i="16" s="1"/>
  <c r="C152" i="10"/>
  <c r="F130" i="16" s="1"/>
  <c r="E154" i="10"/>
  <c r="C156" i="10"/>
  <c r="F164" i="16" s="1"/>
  <c r="E158" i="10"/>
  <c r="C160" i="10"/>
  <c r="F149" i="16" s="1"/>
  <c r="E162" i="10"/>
  <c r="C164" i="10"/>
  <c r="F141" i="16" s="1"/>
  <c r="E166" i="10"/>
  <c r="J172" i="16" s="1"/>
  <c r="K172" i="16" s="1"/>
  <c r="C168" i="10"/>
  <c r="F187" i="16" s="1"/>
  <c r="E170" i="10"/>
  <c r="C172" i="10"/>
  <c r="F166" i="16" s="1"/>
  <c r="E174" i="10"/>
  <c r="F176" i="10"/>
  <c r="E179" i="10"/>
  <c r="C295" i="10"/>
  <c r="F295" i="16" s="1"/>
  <c r="B2" i="10"/>
  <c r="D7" i="16" s="1"/>
  <c r="F2" i="10"/>
  <c r="E3" i="10"/>
  <c r="E4" i="10"/>
  <c r="J4" i="16" s="1"/>
  <c r="E5" i="10"/>
  <c r="J3" i="16" s="1"/>
  <c r="B6" i="10"/>
  <c r="D2" i="16" s="1"/>
  <c r="F6" i="10"/>
  <c r="C7" i="10"/>
  <c r="F9" i="16" s="1"/>
  <c r="D8" i="10"/>
  <c r="H20" i="16" s="1"/>
  <c r="E9" i="10"/>
  <c r="J14" i="16" s="1"/>
  <c r="B10" i="10"/>
  <c r="D17" i="16" s="1"/>
  <c r="F10" i="10"/>
  <c r="C11" i="10"/>
  <c r="F5" i="16" s="1"/>
  <c r="D12" i="10"/>
  <c r="H8" i="16" s="1"/>
  <c r="E13" i="10"/>
  <c r="J25" i="16" s="1"/>
  <c r="B14" i="10"/>
  <c r="D13" i="16" s="1"/>
  <c r="F14" i="10"/>
  <c r="C15" i="10"/>
  <c r="F28" i="16" s="1"/>
  <c r="D16" i="10"/>
  <c r="H15" i="16" s="1"/>
  <c r="E17" i="10"/>
  <c r="J11" i="16" s="1"/>
  <c r="B18" i="10"/>
  <c r="D12" i="16" s="1"/>
  <c r="F18" i="10"/>
  <c r="C19" i="10"/>
  <c r="F18" i="16" s="1"/>
  <c r="D20" i="10"/>
  <c r="H22" i="16" s="1"/>
  <c r="E21" i="10"/>
  <c r="J10" i="16" s="1"/>
  <c r="B22" i="10"/>
  <c r="D19" i="16" s="1"/>
  <c r="F22" i="10"/>
  <c r="C23" i="10"/>
  <c r="F24" i="16" s="1"/>
  <c r="D24" i="10"/>
  <c r="H29" i="16" s="1"/>
  <c r="E25" i="10"/>
  <c r="B26" i="10"/>
  <c r="D23" i="16" s="1"/>
  <c r="F26" i="10"/>
  <c r="C27" i="10"/>
  <c r="F38" i="16" s="1"/>
  <c r="D28" i="10"/>
  <c r="H21" i="16" s="1"/>
  <c r="E29" i="10"/>
  <c r="B30" i="10"/>
  <c r="D35" i="16" s="1"/>
  <c r="F30" i="10"/>
  <c r="C31" i="10"/>
  <c r="F32" i="16" s="1"/>
  <c r="D32" i="10"/>
  <c r="H42" i="16" s="1"/>
  <c r="E33" i="10"/>
  <c r="J16" i="16" s="1"/>
  <c r="B34" i="10"/>
  <c r="D27" i="16" s="1"/>
  <c r="F34" i="10"/>
  <c r="C35" i="10"/>
  <c r="F34" i="16" s="1"/>
  <c r="D36" i="10"/>
  <c r="H41" i="16" s="1"/>
  <c r="E37" i="10"/>
  <c r="J31" i="16" s="1"/>
  <c r="K31" i="16" s="1"/>
  <c r="B38" i="10"/>
  <c r="D45" i="16" s="1"/>
  <c r="F38" i="10"/>
  <c r="C39" i="10"/>
  <c r="F36" i="16" s="1"/>
  <c r="D40" i="10"/>
  <c r="H33" i="16" s="1"/>
  <c r="E41" i="10"/>
  <c r="J61" i="16" s="1"/>
  <c r="B42" i="10"/>
  <c r="D64" i="16" s="1"/>
  <c r="F42" i="10"/>
  <c r="C43" i="10"/>
  <c r="F40" i="16" s="1"/>
  <c r="D44" i="10"/>
  <c r="H37" i="16" s="1"/>
  <c r="E45" i="10"/>
  <c r="J44" i="16" s="1"/>
  <c r="B46" i="10"/>
  <c r="D51" i="16" s="1"/>
  <c r="F46" i="10"/>
  <c r="C47" i="10"/>
  <c r="F43" i="16" s="1"/>
  <c r="D48" i="10"/>
  <c r="H39" i="16" s="1"/>
  <c r="E49" i="10"/>
  <c r="J52" i="16" s="1"/>
  <c r="K52" i="16" s="1"/>
  <c r="B50" i="10"/>
  <c r="D47" i="16" s="1"/>
  <c r="F50" i="10"/>
  <c r="C51" i="10"/>
  <c r="F54" i="16" s="1"/>
  <c r="D52" i="10"/>
  <c r="H55" i="16" s="1"/>
  <c r="E53" i="10"/>
  <c r="J46" i="16" s="1"/>
  <c r="K46" i="16" s="1"/>
  <c r="B54" i="10"/>
  <c r="D65" i="16" s="1"/>
  <c r="F54" i="10"/>
  <c r="C55" i="10"/>
  <c r="F77" i="16" s="1"/>
  <c r="D56" i="10"/>
  <c r="H48" i="16" s="1"/>
  <c r="E57" i="10"/>
  <c r="B58" i="10"/>
  <c r="D53" i="16" s="1"/>
  <c r="F58" i="10"/>
  <c r="C59" i="10"/>
  <c r="F56" i="16" s="1"/>
  <c r="D60" i="10"/>
  <c r="H57" i="16" s="1"/>
  <c r="E61" i="10"/>
  <c r="J63" i="16" s="1"/>
  <c r="K63" i="16" s="1"/>
  <c r="B62" i="10"/>
  <c r="D67" i="16" s="1"/>
  <c r="F62" i="10"/>
  <c r="C63" i="10"/>
  <c r="F58" i="16" s="1"/>
  <c r="D64" i="10"/>
  <c r="H81" i="16" s="1"/>
  <c r="E65" i="10"/>
  <c r="J49" i="16" s="1"/>
  <c r="K49" i="16" s="1"/>
  <c r="B66" i="10"/>
  <c r="D59" i="16" s="1"/>
  <c r="F66" i="10"/>
  <c r="C67" i="10"/>
  <c r="F68" i="16" s="1"/>
  <c r="D68" i="10"/>
  <c r="H75" i="16" s="1"/>
  <c r="E69" i="10"/>
  <c r="J69" i="16" s="1"/>
  <c r="B70" i="10"/>
  <c r="D86" i="16" s="1"/>
  <c r="F70" i="10"/>
  <c r="C71" i="10"/>
  <c r="F71" i="16" s="1"/>
  <c r="D72" i="10"/>
  <c r="H83" i="16" s="1"/>
  <c r="E73" i="10"/>
  <c r="J70" i="16" s="1"/>
  <c r="K70" i="16" s="1"/>
  <c r="B74" i="10"/>
  <c r="D62" i="16" s="1"/>
  <c r="F74" i="10"/>
  <c r="C75" i="10"/>
  <c r="F60" i="16" s="1"/>
  <c r="D76" i="10"/>
  <c r="H101" i="16" s="1"/>
  <c r="E77" i="10"/>
  <c r="J98" i="16" s="1"/>
  <c r="K98" i="16" s="1"/>
  <c r="B78" i="10"/>
  <c r="D89" i="16" s="1"/>
  <c r="F78" i="10"/>
  <c r="C79" i="10"/>
  <c r="F103" i="16" s="1"/>
  <c r="D80" i="10"/>
  <c r="H102" i="16" s="1"/>
  <c r="E81" i="10"/>
  <c r="J66" i="16" s="1"/>
  <c r="K66" i="16" s="1"/>
  <c r="B82" i="10"/>
  <c r="D95" i="16" s="1"/>
  <c r="F82" i="10"/>
  <c r="C83" i="10"/>
  <c r="F82" i="16" s="1"/>
  <c r="D84" i="10"/>
  <c r="H74" i="16" s="1"/>
  <c r="E85" i="10"/>
  <c r="J72" i="16" s="1"/>
  <c r="K72" i="16" s="1"/>
  <c r="B86" i="10"/>
  <c r="D84" i="16" s="1"/>
  <c r="F86" i="10"/>
  <c r="C87" i="10"/>
  <c r="F88" i="16" s="1"/>
  <c r="D88" i="10"/>
  <c r="H80" i="16" s="1"/>
  <c r="E89" i="10"/>
  <c r="C90" i="10"/>
  <c r="F79" i="16" s="1"/>
  <c r="F91" i="10"/>
  <c r="E92" i="10"/>
  <c r="J94" i="16" s="1"/>
  <c r="K94" i="16" s="1"/>
  <c r="B93" i="10"/>
  <c r="D92" i="16" s="1"/>
  <c r="E94" i="10"/>
  <c r="D95" i="10"/>
  <c r="H78" i="16" s="1"/>
  <c r="B96" i="10"/>
  <c r="D105" i="16" s="1"/>
  <c r="D97" i="10"/>
  <c r="H91" i="16" s="1"/>
  <c r="C98" i="10"/>
  <c r="F96" i="16" s="1"/>
  <c r="F99" i="10"/>
  <c r="E100" i="10"/>
  <c r="J73" i="16" s="1"/>
  <c r="K73" i="16" s="1"/>
  <c r="D101" i="10"/>
  <c r="H104" i="16" s="1"/>
  <c r="B103" i="10"/>
  <c r="D118" i="16" s="1"/>
  <c r="E106" i="10"/>
  <c r="J108" i="16" s="1"/>
  <c r="K108" i="16" s="1"/>
  <c r="D109" i="10"/>
  <c r="H119" i="16" s="1"/>
  <c r="B111" i="10"/>
  <c r="D97" i="16" s="1"/>
  <c r="E114" i="10"/>
  <c r="D117" i="10"/>
  <c r="H116" i="16" s="1"/>
  <c r="B119" i="10"/>
  <c r="D125" i="16" s="1"/>
  <c r="E122" i="10"/>
  <c r="D125" i="10"/>
  <c r="H109" i="16" s="1"/>
  <c r="B127" i="10"/>
  <c r="D151" i="16" s="1"/>
  <c r="F255" i="10"/>
  <c r="E258" i="10"/>
  <c r="D271" i="10"/>
  <c r="H282" i="16" s="1"/>
  <c r="C274" i="10"/>
  <c r="F265" i="16" s="1"/>
  <c r="B319" i="10"/>
  <c r="D281" i="16" s="1"/>
  <c r="J152" i="16" l="1"/>
  <c r="K152" i="16" s="1"/>
  <c r="J30" i="16"/>
  <c r="J6" i="16"/>
  <c r="J193" i="16"/>
  <c r="K193" i="16" s="1"/>
  <c r="J182" i="16"/>
  <c r="K182" i="16" s="1"/>
  <c r="J211" i="16"/>
  <c r="K211" i="16" s="1"/>
  <c r="J238" i="16"/>
  <c r="K238" i="16" s="1"/>
  <c r="J220" i="16"/>
  <c r="K220" i="16" s="1"/>
  <c r="J134" i="16"/>
  <c r="K134" i="16" s="1"/>
  <c r="J265" i="16"/>
  <c r="K265" i="16" s="1"/>
  <c r="J327" i="16"/>
  <c r="K327" i="16" s="1"/>
  <c r="J154" i="16"/>
  <c r="K154" i="16" s="1"/>
  <c r="J180" i="16"/>
  <c r="K180" i="16" s="1"/>
  <c r="J208" i="16"/>
  <c r="K208" i="16" s="1"/>
  <c r="J231" i="16"/>
  <c r="K231" i="16" s="1"/>
  <c r="J244" i="16"/>
  <c r="K244" i="16" s="1"/>
  <c r="J253" i="16"/>
  <c r="K253" i="16" s="1"/>
  <c r="J147" i="16"/>
  <c r="K147" i="16" s="1"/>
  <c r="J165" i="16"/>
  <c r="K165" i="16" s="1"/>
  <c r="J138" i="16"/>
  <c r="K138" i="16" s="1"/>
  <c r="J230" i="16"/>
  <c r="K230" i="16" s="1"/>
  <c r="J267" i="16"/>
  <c r="K267" i="16" s="1"/>
  <c r="J302" i="16"/>
  <c r="K302" i="16" s="1"/>
  <c r="J143" i="16"/>
  <c r="K143" i="16" s="1"/>
  <c r="J150" i="16"/>
  <c r="K150" i="16" s="1"/>
  <c r="J121" i="16"/>
  <c r="K121" i="16" s="1"/>
  <c r="J130" i="16"/>
  <c r="K130" i="16" s="1"/>
  <c r="J149" i="16"/>
  <c r="K149" i="16" s="1"/>
  <c r="J187" i="16"/>
  <c r="K187" i="16" s="1"/>
  <c r="J183" i="16"/>
  <c r="K183" i="16" s="1"/>
  <c r="J223" i="16"/>
  <c r="K223" i="16" s="1"/>
  <c r="J191" i="16"/>
  <c r="K191" i="16" s="1"/>
  <c r="J221" i="16"/>
  <c r="K221" i="16" s="1"/>
  <c r="J222" i="16"/>
  <c r="K222" i="16" s="1"/>
  <c r="J235" i="16"/>
  <c r="K235" i="16" s="1"/>
  <c r="J246" i="16"/>
  <c r="K246" i="16" s="1"/>
  <c r="J294" i="16"/>
  <c r="K294" i="16" s="1"/>
  <c r="J90" i="16"/>
  <c r="J167" i="16"/>
  <c r="K167" i="16" s="1"/>
  <c r="J136" i="16"/>
  <c r="K136" i="16" s="1"/>
  <c r="J156" i="16"/>
  <c r="K156" i="16" s="1"/>
  <c r="J178" i="16"/>
  <c r="K178" i="16" s="1"/>
  <c r="J245" i="16"/>
  <c r="K245" i="16" s="1"/>
  <c r="J181" i="16"/>
  <c r="K181" i="16" s="1"/>
  <c r="J174" i="16"/>
  <c r="K174" i="16" s="1"/>
  <c r="J163" i="16"/>
  <c r="K163" i="16" s="1"/>
  <c r="J93" i="16"/>
  <c r="J127" i="16"/>
  <c r="K127" i="16" s="1"/>
  <c r="J117" i="16"/>
  <c r="K117" i="16" s="1"/>
  <c r="J139" i="16"/>
  <c r="K139" i="16" s="1"/>
  <c r="J171" i="16"/>
  <c r="K171" i="16" s="1"/>
  <c r="J239" i="16"/>
  <c r="K239" i="16" s="1"/>
  <c r="I119" i="16"/>
  <c r="J95" i="16"/>
  <c r="K95" i="16" s="1"/>
  <c r="J59" i="16"/>
  <c r="K59" i="16" s="1"/>
  <c r="J47" i="16"/>
  <c r="K47" i="16" s="1"/>
  <c r="J27" i="16"/>
  <c r="K27" i="16" s="1"/>
  <c r="J12" i="16"/>
  <c r="J161" i="16"/>
  <c r="K161" i="16" s="1"/>
  <c r="J142" i="16"/>
  <c r="K142" i="16" s="1"/>
  <c r="J189" i="16"/>
  <c r="K189" i="16" s="1"/>
  <c r="J209" i="16"/>
  <c r="K209" i="16" s="1"/>
  <c r="J228" i="16"/>
  <c r="K228" i="16" s="1"/>
  <c r="J196" i="16"/>
  <c r="K196" i="16" s="1"/>
  <c r="J194" i="16"/>
  <c r="K194" i="16" s="1"/>
  <c r="J206" i="16"/>
  <c r="K206" i="16" s="1"/>
  <c r="J234" i="16"/>
  <c r="K234" i="16" s="1"/>
  <c r="J236" i="16"/>
  <c r="K236" i="16" s="1"/>
  <c r="J252" i="16"/>
  <c r="K252" i="16" s="1"/>
  <c r="J307" i="16"/>
  <c r="K307" i="16" s="1"/>
  <c r="J296" i="16"/>
  <c r="K296" i="16" s="1"/>
  <c r="J291" i="16"/>
  <c r="K291" i="16" s="1"/>
  <c r="J290" i="16"/>
  <c r="K290" i="16" s="1"/>
  <c r="J306" i="16"/>
  <c r="K306" i="16" s="1"/>
  <c r="J281" i="16"/>
  <c r="K281" i="16" s="1"/>
  <c r="J339" i="16"/>
  <c r="K339" i="16" s="1"/>
  <c r="J351" i="16"/>
  <c r="K351" i="16" s="1"/>
  <c r="J300" i="16"/>
  <c r="K300" i="16" s="1"/>
  <c r="J315" i="16"/>
  <c r="K315" i="16" s="1"/>
  <c r="J304" i="16"/>
  <c r="K304" i="16" s="1"/>
  <c r="J323" i="16"/>
  <c r="K323" i="16" s="1"/>
  <c r="J338" i="16"/>
  <c r="K338" i="16" s="1"/>
  <c r="J346" i="16"/>
  <c r="K346" i="16" s="1"/>
  <c r="J352" i="16"/>
  <c r="K352" i="16" s="1"/>
  <c r="J78" i="16"/>
  <c r="J37" i="16"/>
  <c r="K37" i="16" s="1"/>
  <c r="J29" i="16"/>
  <c r="J20" i="16"/>
  <c r="J210" i="16"/>
  <c r="K210" i="16" s="1"/>
  <c r="J299" i="16"/>
  <c r="K299" i="16" s="1"/>
  <c r="J312" i="16"/>
  <c r="K312" i="16" s="1"/>
  <c r="J309" i="16"/>
  <c r="K309" i="16" s="1"/>
  <c r="J310" i="16"/>
  <c r="K310" i="16" s="1"/>
  <c r="J311" i="16"/>
  <c r="K311" i="16" s="1"/>
  <c r="J336" i="16"/>
  <c r="K336" i="16" s="1"/>
  <c r="J337" i="16"/>
  <c r="K337" i="16" s="1"/>
  <c r="J350" i="16"/>
  <c r="K350" i="16" s="1"/>
  <c r="J277" i="16"/>
  <c r="K277" i="16" s="1"/>
  <c r="J258" i="16"/>
  <c r="K258" i="16" s="1"/>
  <c r="J271" i="16"/>
  <c r="K271" i="16" s="1"/>
  <c r="J305" i="16"/>
  <c r="K305" i="16" s="1"/>
  <c r="J314" i="16"/>
  <c r="K314" i="16" s="1"/>
  <c r="J333" i="16"/>
  <c r="K333" i="16" s="1"/>
  <c r="I72" i="16"/>
  <c r="I69" i="16"/>
  <c r="I46" i="16"/>
  <c r="I31" i="16"/>
  <c r="I10" i="16"/>
  <c r="I3" i="16"/>
  <c r="J122" i="16"/>
  <c r="K122" i="16" s="1"/>
  <c r="J145" i="16"/>
  <c r="K145" i="16" s="1"/>
  <c r="J177" i="16"/>
  <c r="K177" i="16" s="1"/>
  <c r="J218" i="16"/>
  <c r="K218" i="16" s="1"/>
  <c r="J250" i="16"/>
  <c r="K250" i="16" s="1"/>
  <c r="I80" i="16"/>
  <c r="I29" i="16"/>
  <c r="I20" i="16"/>
  <c r="I22" i="16"/>
  <c r="I49" i="16"/>
  <c r="I4" i="16"/>
  <c r="I94" i="16"/>
  <c r="I111" i="16"/>
  <c r="I131" i="16"/>
  <c r="I144" i="16"/>
  <c r="I157" i="16"/>
  <c r="I141" i="16"/>
  <c r="I184" i="16"/>
  <c r="I215" i="16"/>
  <c r="I118" i="16"/>
  <c r="I125" i="16"/>
  <c r="I123" i="16"/>
  <c r="I154" i="16"/>
  <c r="I191" i="16"/>
  <c r="I83" i="16"/>
  <c r="I78" i="16"/>
  <c r="I74" i="16"/>
  <c r="I41" i="16"/>
  <c r="I16" i="16"/>
  <c r="I109" i="16"/>
  <c r="I102" i="16"/>
  <c r="I81" i="16"/>
  <c r="I39" i="16"/>
  <c r="I42" i="16"/>
  <c r="I15" i="16"/>
  <c r="I48" i="16"/>
  <c r="I33" i="16"/>
  <c r="I116" i="16"/>
  <c r="I75" i="16"/>
  <c r="I55" i="16"/>
  <c r="I66" i="16"/>
  <c r="I52" i="16"/>
  <c r="I11" i="16"/>
  <c r="I282" i="16"/>
  <c r="I104" i="16"/>
  <c r="I91" i="16"/>
  <c r="I101" i="16"/>
  <c r="I57" i="16"/>
  <c r="I37" i="16"/>
  <c r="I21" i="16"/>
  <c r="I8" i="16"/>
  <c r="J202" i="16"/>
  <c r="K202" i="16" s="1"/>
  <c r="J232" i="16"/>
  <c r="K232" i="16" s="1"/>
  <c r="J160" i="16"/>
  <c r="K160" i="16" s="1"/>
  <c r="J198" i="16"/>
  <c r="K198" i="16" s="1"/>
  <c r="I105" i="16"/>
  <c r="I76" i="16"/>
  <c r="I143" i="16"/>
  <c r="I121" i="16"/>
  <c r="I149" i="16"/>
  <c r="I207" i="16"/>
  <c r="I107" i="16"/>
  <c r="I112" i="16"/>
  <c r="I280" i="16"/>
  <c r="I87" i="16"/>
  <c r="I113" i="16"/>
  <c r="I160" i="16"/>
  <c r="I223" i="16"/>
  <c r="I235" i="16"/>
  <c r="I148" i="16"/>
  <c r="I155" i="16"/>
  <c r="I190" i="16"/>
  <c r="I176" i="16"/>
  <c r="I138" i="16"/>
  <c r="I165" i="16"/>
  <c r="I147" i="16"/>
  <c r="I173" i="16"/>
  <c r="I218" i="16"/>
  <c r="I225" i="16"/>
  <c r="I250" i="16"/>
  <c r="I277" i="16"/>
  <c r="I258" i="16"/>
  <c r="I271" i="16"/>
  <c r="I299" i="16"/>
  <c r="I196" i="16"/>
  <c r="I198" i="16"/>
  <c r="I206" i="16"/>
  <c r="I212" i="16"/>
  <c r="I263" i="16"/>
  <c r="I186" i="16"/>
  <c r="I205" i="16"/>
  <c r="I233" i="16"/>
  <c r="I244" i="16"/>
  <c r="I257" i="16"/>
  <c r="I272" i="16"/>
  <c r="I320" i="16"/>
  <c r="I259" i="16"/>
  <c r="I265" i="16"/>
  <c r="I290" i="16"/>
  <c r="I312" i="16"/>
  <c r="I309" i="16"/>
  <c r="I310" i="16"/>
  <c r="I311" i="16"/>
  <c r="I336" i="16"/>
  <c r="I337" i="16"/>
  <c r="I350" i="16"/>
  <c r="I261" i="16"/>
  <c r="I289" i="16"/>
  <c r="I322" i="16"/>
  <c r="I331" i="16"/>
  <c r="I344" i="16"/>
  <c r="I317" i="16"/>
  <c r="I335" i="16"/>
  <c r="I348" i="16"/>
  <c r="I305" i="16"/>
  <c r="I314" i="16"/>
  <c r="I333" i="16"/>
  <c r="J229" i="16"/>
  <c r="K229" i="16" s="1"/>
  <c r="J195" i="16"/>
  <c r="K195" i="16" s="1"/>
  <c r="J200" i="16"/>
  <c r="K200" i="16" s="1"/>
  <c r="J132" i="16"/>
  <c r="K132" i="16" s="1"/>
  <c r="I127" i="16"/>
  <c r="I62" i="16"/>
  <c r="I53" i="16"/>
  <c r="I64" i="16"/>
  <c r="I23" i="16"/>
  <c r="I17" i="16"/>
  <c r="I152" i="16"/>
  <c r="I60" i="16"/>
  <c r="I103" i="16"/>
  <c r="I153" i="16"/>
  <c r="G53" i="16"/>
  <c r="I34" i="16"/>
  <c r="I9" i="16"/>
  <c r="I5" i="16"/>
  <c r="J101" i="16"/>
  <c r="K101" i="16" s="1"/>
  <c r="I140" i="16"/>
  <c r="I146" i="16"/>
  <c r="I188" i="16"/>
  <c r="I264" i="16"/>
  <c r="I93" i="16"/>
  <c r="I163" i="16"/>
  <c r="I174" i="16"/>
  <c r="I200" i="16"/>
  <c r="I195" i="16"/>
  <c r="I229" i="16"/>
  <c r="I242" i="16"/>
  <c r="I278" i="16"/>
  <c r="I287" i="16"/>
  <c r="I247" i="16"/>
  <c r="I175" i="16"/>
  <c r="I179" i="16"/>
  <c r="I220" i="16"/>
  <c r="I227" i="16"/>
  <c r="I249" i="16"/>
  <c r="I193" i="16"/>
  <c r="I182" i="16"/>
  <c r="I211" i="16"/>
  <c r="I216" i="16"/>
  <c r="I230" i="16"/>
  <c r="I267" i="16"/>
  <c r="I302" i="16"/>
  <c r="I239" i="16"/>
  <c r="I260" i="16"/>
  <c r="I295" i="16"/>
  <c r="I307" i="16"/>
  <c r="I321" i="16"/>
  <c r="I332" i="16"/>
  <c r="I340" i="16"/>
  <c r="I315" i="16"/>
  <c r="I323" i="16"/>
  <c r="I346" i="16"/>
  <c r="I306" i="16"/>
  <c r="I281" i="16"/>
  <c r="I339" i="16"/>
  <c r="I351" i="16"/>
  <c r="I117" i="16"/>
  <c r="I92" i="16"/>
  <c r="I84" i="16"/>
  <c r="I86" i="16"/>
  <c r="I65" i="16"/>
  <c r="I45" i="16"/>
  <c r="I19" i="16"/>
  <c r="I2" i="16"/>
  <c r="I7" i="16"/>
  <c r="I178" i="16"/>
  <c r="I136" i="16"/>
  <c r="I24" i="16"/>
  <c r="I226" i="16"/>
  <c r="I32" i="16"/>
  <c r="I145" i="16"/>
  <c r="I96" i="16"/>
  <c r="I54" i="16"/>
  <c r="I28" i="16"/>
  <c r="I88" i="16"/>
  <c r="I36" i="16"/>
  <c r="I98" i="16"/>
  <c r="I63" i="16"/>
  <c r="I44" i="16"/>
  <c r="I30" i="16"/>
  <c r="I25" i="16"/>
  <c r="I6" i="16"/>
  <c r="I110" i="16"/>
  <c r="I128" i="16"/>
  <c r="I150" i="16"/>
  <c r="I130" i="16"/>
  <c r="I187" i="16"/>
  <c r="I199" i="16"/>
  <c r="I203" i="16"/>
  <c r="I129" i="16"/>
  <c r="I256" i="16"/>
  <c r="I270" i="16"/>
  <c r="I106" i="16"/>
  <c r="I132" i="16"/>
  <c r="I221" i="16"/>
  <c r="I161" i="16"/>
  <c r="I142" i="16"/>
  <c r="I189" i="16"/>
  <c r="I168" i="16"/>
  <c r="I241" i="16"/>
  <c r="I134" i="16"/>
  <c r="I159" i="16"/>
  <c r="I172" i="16"/>
  <c r="I201" i="16"/>
  <c r="I197" i="16"/>
  <c r="I237" i="16"/>
  <c r="I232" i="16"/>
  <c r="I283" i="16"/>
  <c r="I276" i="16"/>
  <c r="I269" i="16"/>
  <c r="I291" i="16"/>
  <c r="I246" i="16"/>
  <c r="I243" i="16"/>
  <c r="I194" i="16"/>
  <c r="I204" i="16"/>
  <c r="I234" i="16"/>
  <c r="I236" i="16"/>
  <c r="I181" i="16"/>
  <c r="I209" i="16"/>
  <c r="I202" i="16"/>
  <c r="I228" i="16"/>
  <c r="I253" i="16"/>
  <c r="I251" i="16"/>
  <c r="I268" i="16"/>
  <c r="I292" i="16"/>
  <c r="I297" i="16"/>
  <c r="I262" i="16"/>
  <c r="I274" i="16"/>
  <c r="I298" i="16"/>
  <c r="I301" i="16"/>
  <c r="I316" i="16"/>
  <c r="I319" i="16"/>
  <c r="I326" i="16"/>
  <c r="I334" i="16"/>
  <c r="I341" i="16"/>
  <c r="I296" i="16"/>
  <c r="I327" i="16"/>
  <c r="I330" i="16"/>
  <c r="I329" i="16"/>
  <c r="I273" i="16"/>
  <c r="I308" i="16"/>
  <c r="I342" i="16"/>
  <c r="I318" i="16"/>
  <c r="I325" i="16"/>
  <c r="I347" i="16"/>
  <c r="I139" i="16"/>
  <c r="I95" i="16"/>
  <c r="I59" i="16"/>
  <c r="I47" i="16"/>
  <c r="I27" i="16"/>
  <c r="I12" i="16"/>
  <c r="I170" i="16"/>
  <c r="I133" i="16"/>
  <c r="I40" i="16"/>
  <c r="I43" i="16"/>
  <c r="I169" i="16"/>
  <c r="I120" i="16"/>
  <c r="I79" i="16"/>
  <c r="I68" i="16"/>
  <c r="I288" i="16"/>
  <c r="I71" i="16"/>
  <c r="I90" i="16"/>
  <c r="I85" i="16"/>
  <c r="I70" i="16"/>
  <c r="I50" i="16"/>
  <c r="I61" i="16"/>
  <c r="I26" i="16"/>
  <c r="I14" i="16"/>
  <c r="I73" i="16"/>
  <c r="I114" i="16"/>
  <c r="I137" i="16"/>
  <c r="I164" i="16"/>
  <c r="I166" i="16"/>
  <c r="I219" i="16"/>
  <c r="I97" i="16"/>
  <c r="I151" i="16"/>
  <c r="I108" i="16"/>
  <c r="I115" i="16"/>
  <c r="I183" i="16"/>
  <c r="I222" i="16"/>
  <c r="I124" i="16"/>
  <c r="I158" i="16"/>
  <c r="I135" i="16"/>
  <c r="I126" i="16"/>
  <c r="I162" i="16"/>
  <c r="I167" i="16"/>
  <c r="I192" i="16"/>
  <c r="I217" i="16"/>
  <c r="I214" i="16"/>
  <c r="I210" i="16"/>
  <c r="I248" i="16"/>
  <c r="I293" i="16"/>
  <c r="I255" i="16"/>
  <c r="I254" i="16"/>
  <c r="I185" i="16"/>
  <c r="I213" i="16"/>
  <c r="I238" i="16"/>
  <c r="I240" i="16"/>
  <c r="I252" i="16"/>
  <c r="I171" i="16"/>
  <c r="I180" i="16"/>
  <c r="I208" i="16"/>
  <c r="I231" i="16"/>
  <c r="I224" i="16"/>
  <c r="I279" i="16"/>
  <c r="I303" i="16"/>
  <c r="I245" i="16"/>
  <c r="I275" i="16"/>
  <c r="I286" i="16"/>
  <c r="I294" i="16"/>
  <c r="I285" i="16"/>
  <c r="I284" i="16"/>
  <c r="I324" i="16"/>
  <c r="I343" i="16"/>
  <c r="I349" i="16"/>
  <c r="I300" i="16"/>
  <c r="I304" i="16"/>
  <c r="I338" i="16"/>
  <c r="I352" i="16"/>
  <c r="I313" i="16"/>
  <c r="I328" i="16"/>
  <c r="I345" i="16"/>
  <c r="I266" i="16"/>
  <c r="I99" i="16"/>
  <c r="I100" i="16"/>
  <c r="I89" i="16"/>
  <c r="I67" i="16"/>
  <c r="I51" i="16"/>
  <c r="I35" i="16"/>
  <c r="I13" i="16"/>
  <c r="I156" i="16"/>
  <c r="I56" i="16"/>
  <c r="I18" i="16"/>
  <c r="I58" i="16"/>
  <c r="I38" i="16"/>
  <c r="I177" i="16"/>
  <c r="I122" i="16"/>
  <c r="I82" i="16"/>
  <c r="I77" i="16"/>
  <c r="G56" i="16"/>
  <c r="G38" i="16"/>
  <c r="G91" i="16"/>
  <c r="G83" i="16"/>
  <c r="G29" i="16"/>
  <c r="G107" i="16"/>
  <c r="G290" i="16"/>
  <c r="G117" i="16"/>
  <c r="G134" i="16"/>
  <c r="G120" i="16"/>
  <c r="G169" i="16"/>
  <c r="G185" i="16"/>
  <c r="G213" i="16"/>
  <c r="G238" i="16"/>
  <c r="G240" i="16"/>
  <c r="G173" i="16"/>
  <c r="E207" i="16"/>
  <c r="G250" i="16"/>
  <c r="G264" i="16"/>
  <c r="G270" i="16"/>
  <c r="G226" i="16"/>
  <c r="G258" i="16"/>
  <c r="G294" i="16"/>
  <c r="G300" i="16"/>
  <c r="G311" i="16"/>
  <c r="G338" i="16"/>
  <c r="G328" i="16"/>
  <c r="G324" i="16"/>
  <c r="G90" i="16"/>
  <c r="G98" i="16"/>
  <c r="G30" i="16"/>
  <c r="G6" i="16"/>
  <c r="G158" i="16"/>
  <c r="G45" i="16"/>
  <c r="G60" i="16"/>
  <c r="G5" i="16"/>
  <c r="G48" i="16"/>
  <c r="G20" i="16"/>
  <c r="G87" i="16"/>
  <c r="G113" i="16"/>
  <c r="G199" i="16"/>
  <c r="G207" i="16"/>
  <c r="G203" i="16"/>
  <c r="G255" i="16"/>
  <c r="G209" i="16"/>
  <c r="G228" i="16"/>
  <c r="G218" i="16"/>
  <c r="G225" i="16"/>
  <c r="G256" i="16"/>
  <c r="G299" i="16"/>
  <c r="G278" i="16"/>
  <c r="G309" i="16"/>
  <c r="G304" i="16"/>
  <c r="G337" i="16"/>
  <c r="G352" i="16"/>
  <c r="G313" i="16"/>
  <c r="G345" i="16"/>
  <c r="G284" i="16"/>
  <c r="G343" i="16"/>
  <c r="G349" i="16"/>
  <c r="G63" i="16"/>
  <c r="G44" i="16"/>
  <c r="G25" i="16"/>
  <c r="G27" i="16"/>
  <c r="G7" i="16"/>
  <c r="G114" i="16"/>
  <c r="G111" i="16"/>
  <c r="G40" i="16"/>
  <c r="G80" i="16"/>
  <c r="G33" i="16"/>
  <c r="G100" i="16"/>
  <c r="G112" i="16"/>
  <c r="G292" i="16"/>
  <c r="G154" i="16"/>
  <c r="G159" i="16"/>
  <c r="G172" i="16"/>
  <c r="G153" i="16"/>
  <c r="G245" i="16"/>
  <c r="G202" i="16"/>
  <c r="G253" i="16"/>
  <c r="G296" i="16"/>
  <c r="G243" i="16"/>
  <c r="G103" i="16"/>
  <c r="G58" i="16"/>
  <c r="G43" i="16"/>
  <c r="G32" i="16"/>
  <c r="G28" i="16"/>
  <c r="G187" i="16"/>
  <c r="G149" i="16"/>
  <c r="G130" i="16"/>
  <c r="G121" i="16"/>
  <c r="G150" i="16"/>
  <c r="G143" i="16"/>
  <c r="G76" i="16"/>
  <c r="G101" i="16"/>
  <c r="G23" i="16"/>
  <c r="G265" i="16"/>
  <c r="G71" i="16"/>
  <c r="G295" i="16"/>
  <c r="G141" i="16"/>
  <c r="G157" i="16"/>
  <c r="G144" i="16"/>
  <c r="G110" i="16"/>
  <c r="G94" i="16"/>
  <c r="G74" i="16"/>
  <c r="G75" i="16"/>
  <c r="G55" i="16"/>
  <c r="G41" i="16"/>
  <c r="G22" i="16"/>
  <c r="G118" i="16"/>
  <c r="G125" i="16"/>
  <c r="G320" i="16"/>
  <c r="G123" i="16"/>
  <c r="G239" i="16"/>
  <c r="G260" i="16"/>
  <c r="G119" i="16"/>
  <c r="G109" i="16"/>
  <c r="G303" i="16"/>
  <c r="G135" i="16"/>
  <c r="G126" i="16"/>
  <c r="G162" i="16"/>
  <c r="G133" i="16"/>
  <c r="G152" i="16"/>
  <c r="G170" i="16"/>
  <c r="G160" i="16"/>
  <c r="G196" i="16"/>
  <c r="G183" i="16"/>
  <c r="G198" i="16"/>
  <c r="G191" i="16"/>
  <c r="G206" i="16"/>
  <c r="G222" i="16"/>
  <c r="G212" i="16"/>
  <c r="G246" i="16"/>
  <c r="G249" i="16"/>
  <c r="G257" i="16"/>
  <c r="G268" i="16"/>
  <c r="G180" i="16"/>
  <c r="G208" i="16"/>
  <c r="G231" i="16"/>
  <c r="G224" i="16"/>
  <c r="G307" i="16"/>
  <c r="G176" i="16"/>
  <c r="G200" i="16"/>
  <c r="G195" i="16"/>
  <c r="G229" i="16"/>
  <c r="G242" i="16"/>
  <c r="G262" i="16"/>
  <c r="G259" i="16"/>
  <c r="G282" i="16"/>
  <c r="G291" i="16"/>
  <c r="G252" i="16"/>
  <c r="G283" i="16"/>
  <c r="G293" i="16"/>
  <c r="G302" i="16"/>
  <c r="G301" i="16"/>
  <c r="G317" i="16"/>
  <c r="G319" i="16"/>
  <c r="G335" i="16"/>
  <c r="G334" i="16"/>
  <c r="G348" i="16"/>
  <c r="G305" i="16"/>
  <c r="G314" i="16"/>
  <c r="G333" i="16"/>
  <c r="G322" i="16"/>
  <c r="G331" i="16"/>
  <c r="G344" i="16"/>
  <c r="G85" i="16"/>
  <c r="G70" i="16"/>
  <c r="G50" i="16"/>
  <c r="G61" i="16"/>
  <c r="G26" i="16"/>
  <c r="G14" i="16"/>
  <c r="G47" i="16"/>
  <c r="G2" i="16"/>
  <c r="G146" i="16"/>
  <c r="G105" i="16"/>
  <c r="G65" i="16"/>
  <c r="G13" i="16"/>
  <c r="G62" i="16"/>
  <c r="G89" i="16"/>
  <c r="G148" i="16"/>
  <c r="G155" i="16"/>
  <c r="G88" i="16"/>
  <c r="G77" i="16"/>
  <c r="G36" i="16"/>
  <c r="G24" i="16"/>
  <c r="G9" i="16"/>
  <c r="G166" i="16"/>
  <c r="G164" i="16"/>
  <c r="G137" i="16"/>
  <c r="G128" i="16"/>
  <c r="G96" i="16"/>
  <c r="G79" i="16"/>
  <c r="G82" i="16"/>
  <c r="G68" i="16"/>
  <c r="G54" i="16"/>
  <c r="G34" i="16"/>
  <c r="G18" i="16"/>
  <c r="G73" i="16"/>
  <c r="G102" i="16"/>
  <c r="G81" i="16"/>
  <c r="G39" i="16"/>
  <c r="G42" i="16"/>
  <c r="G15" i="16"/>
  <c r="J262" i="16"/>
  <c r="K262" i="16" s="1"/>
  <c r="J269" i="16"/>
  <c r="K269" i="16" s="1"/>
  <c r="G99" i="16"/>
  <c r="G129" i="16"/>
  <c r="G106" i="16"/>
  <c r="G132" i="16"/>
  <c r="G127" i="16"/>
  <c r="G139" i="16"/>
  <c r="G138" i="16"/>
  <c r="G165" i="16"/>
  <c r="G147" i="16"/>
  <c r="G122" i="16"/>
  <c r="G145" i="16"/>
  <c r="G177" i="16"/>
  <c r="G181" i="16"/>
  <c r="G184" i="16"/>
  <c r="G175" i="16"/>
  <c r="G219" i="16"/>
  <c r="G179" i="16"/>
  <c r="G215" i="16"/>
  <c r="G220" i="16"/>
  <c r="G247" i="16"/>
  <c r="G227" i="16"/>
  <c r="G254" i="16"/>
  <c r="G186" i="16"/>
  <c r="G205" i="16"/>
  <c r="G233" i="16"/>
  <c r="G244" i="16"/>
  <c r="G251" i="16"/>
  <c r="G261" i="16"/>
  <c r="G289" i="16"/>
  <c r="G201" i="16"/>
  <c r="G197" i="16"/>
  <c r="G237" i="16"/>
  <c r="G232" i="16"/>
  <c r="G280" i="16"/>
  <c r="G248" i="16"/>
  <c r="G277" i="16"/>
  <c r="G271" i="16"/>
  <c r="G287" i="16"/>
  <c r="G298" i="16"/>
  <c r="G312" i="16"/>
  <c r="G315" i="16"/>
  <c r="G310" i="16"/>
  <c r="G323" i="16"/>
  <c r="G336" i="16"/>
  <c r="G346" i="16"/>
  <c r="G350" i="16"/>
  <c r="G306" i="16"/>
  <c r="G281" i="16"/>
  <c r="G339" i="16"/>
  <c r="G351" i="16"/>
  <c r="G321" i="16"/>
  <c r="G332" i="16"/>
  <c r="G340" i="16"/>
  <c r="G274" i="16"/>
  <c r="G72" i="16"/>
  <c r="G69" i="16"/>
  <c r="G46" i="16"/>
  <c r="G31" i="16"/>
  <c r="G10" i="16"/>
  <c r="G3" i="16"/>
  <c r="G59" i="16"/>
  <c r="G171" i="16"/>
  <c r="G124" i="16"/>
  <c r="G92" i="16"/>
  <c r="G86" i="16"/>
  <c r="G17" i="16"/>
  <c r="G19" i="16"/>
  <c r="G67" i="16"/>
  <c r="G189" i="16"/>
  <c r="G190" i="16"/>
  <c r="G51" i="16"/>
  <c r="G142" i="16"/>
  <c r="G57" i="16"/>
  <c r="G37" i="16"/>
  <c r="G21" i="16"/>
  <c r="G8" i="16"/>
  <c r="G78" i="16"/>
  <c r="G97" i="16"/>
  <c r="G151" i="16"/>
  <c r="G241" i="16"/>
  <c r="G108" i="16"/>
  <c r="G115" i="16"/>
  <c r="G275" i="16"/>
  <c r="G286" i="16"/>
  <c r="G104" i="16"/>
  <c r="G116" i="16"/>
  <c r="G93" i="16"/>
  <c r="G163" i="16"/>
  <c r="G174" i="16"/>
  <c r="G167" i="16"/>
  <c r="G136" i="16"/>
  <c r="G156" i="16"/>
  <c r="G178" i="16"/>
  <c r="G194" i="16"/>
  <c r="G223" i="16"/>
  <c r="G204" i="16"/>
  <c r="G221" i="16"/>
  <c r="G234" i="16"/>
  <c r="G235" i="16"/>
  <c r="G236" i="16"/>
  <c r="G230" i="16"/>
  <c r="G279" i="16"/>
  <c r="G267" i="16"/>
  <c r="G193" i="16"/>
  <c r="G182" i="16"/>
  <c r="G211" i="16"/>
  <c r="G216" i="16"/>
  <c r="G285" i="16"/>
  <c r="G192" i="16"/>
  <c r="G217" i="16"/>
  <c r="G214" i="16"/>
  <c r="G210" i="16"/>
  <c r="G266" i="16"/>
  <c r="G288" i="16"/>
  <c r="G269" i="16"/>
  <c r="G263" i="16"/>
  <c r="G276" i="16"/>
  <c r="G272" i="16"/>
  <c r="G297" i="16"/>
  <c r="G273" i="16"/>
  <c r="G316" i="16"/>
  <c r="G308" i="16"/>
  <c r="G326" i="16"/>
  <c r="G342" i="16"/>
  <c r="G341" i="16"/>
  <c r="G318" i="16"/>
  <c r="G325" i="16"/>
  <c r="G347" i="16"/>
  <c r="G327" i="16"/>
  <c r="G330" i="16"/>
  <c r="G329" i="16"/>
  <c r="G66" i="16"/>
  <c r="G49" i="16"/>
  <c r="G52" i="16"/>
  <c r="G16" i="16"/>
  <c r="G11" i="16"/>
  <c r="G4" i="16"/>
  <c r="G131" i="16"/>
  <c r="G95" i="16"/>
  <c r="G188" i="16"/>
  <c r="G140" i="16"/>
  <c r="G84" i="16"/>
  <c r="G64" i="16"/>
  <c r="G12" i="16"/>
  <c r="G161" i="16"/>
  <c r="G168" i="16"/>
  <c r="G35" i="16"/>
  <c r="E125" i="16"/>
  <c r="E105" i="16"/>
  <c r="E95" i="16"/>
  <c r="E27" i="16"/>
  <c r="E7" i="16"/>
  <c r="E103" i="16"/>
  <c r="E58" i="16"/>
  <c r="E28" i="16"/>
  <c r="E117" i="16"/>
  <c r="E93" i="16"/>
  <c r="E162" i="16"/>
  <c r="E122" i="16"/>
  <c r="E145" i="16"/>
  <c r="E177" i="16"/>
  <c r="E180" i="16"/>
  <c r="E211" i="16"/>
  <c r="E224" i="16"/>
  <c r="E276" i="16"/>
  <c r="E347" i="16"/>
  <c r="E270" i="16"/>
  <c r="E201" i="16"/>
  <c r="E237" i="16"/>
  <c r="E281" i="16"/>
  <c r="E59" i="16"/>
  <c r="E47" i="16"/>
  <c r="E43" i="16"/>
  <c r="E32" i="16"/>
  <c r="E87" i="16"/>
  <c r="E113" i="16"/>
  <c r="E135" i="16"/>
  <c r="E163" i="16"/>
  <c r="E193" i="16"/>
  <c r="E208" i="16"/>
  <c r="E216" i="16"/>
  <c r="E263" i="16"/>
  <c r="E144" i="16"/>
  <c r="E157" i="16"/>
  <c r="E141" i="16"/>
  <c r="E318" i="16"/>
  <c r="E256" i="16"/>
  <c r="E197" i="16"/>
  <c r="E232" i="16"/>
  <c r="E262" i="16"/>
  <c r="E307" i="16"/>
  <c r="E293" i="16"/>
  <c r="E326" i="16"/>
  <c r="E341" i="16"/>
  <c r="E75" i="16"/>
  <c r="E22" i="16"/>
  <c r="E11" i="16"/>
  <c r="E63" i="16"/>
  <c r="E66" i="16"/>
  <c r="E72" i="16"/>
  <c r="E14" i="16"/>
  <c r="E151" i="16"/>
  <c r="E89" i="16"/>
  <c r="E67" i="16"/>
  <c r="E51" i="16"/>
  <c r="E35" i="16"/>
  <c r="E13" i="16"/>
  <c r="E60" i="16"/>
  <c r="E56" i="16"/>
  <c r="E40" i="16"/>
  <c r="E38" i="16"/>
  <c r="E5" i="16"/>
  <c r="J110" i="16"/>
  <c r="K110" i="16" s="1"/>
  <c r="J76" i="16"/>
  <c r="K76" i="16" s="1"/>
  <c r="J128" i="16"/>
  <c r="K128" i="16" s="1"/>
  <c r="E12" i="16"/>
  <c r="E176" i="16"/>
  <c r="E111" i="16"/>
  <c r="E131" i="16"/>
  <c r="E126" i="16"/>
  <c r="E174" i="16"/>
  <c r="E182" i="16"/>
  <c r="E231" i="16"/>
  <c r="E245" i="16"/>
  <c r="E252" i="16"/>
  <c r="E154" i="16"/>
  <c r="E199" i="16"/>
  <c r="E203" i="16"/>
  <c r="E255" i="16"/>
  <c r="E260" i="16"/>
  <c r="E290" i="16"/>
  <c r="E241" i="16"/>
  <c r="E257" i="16"/>
  <c r="E327" i="16"/>
  <c r="E330" i="16"/>
  <c r="E329" i="16"/>
  <c r="E316" i="16"/>
  <c r="E74" i="16"/>
  <c r="E41" i="16"/>
  <c r="E99" i="16"/>
  <c r="E118" i="16"/>
  <c r="J185" i="16"/>
  <c r="K185" i="16" s="1"/>
  <c r="J175" i="16"/>
  <c r="K175" i="16" s="1"/>
  <c r="E302" i="16"/>
  <c r="E129" i="16"/>
  <c r="E55" i="16"/>
  <c r="E50" i="16"/>
  <c r="E26" i="16"/>
  <c r="E62" i="16"/>
  <c r="E53" i="16"/>
  <c r="E64" i="16"/>
  <c r="E23" i="16"/>
  <c r="E17" i="16"/>
  <c r="E78" i="16"/>
  <c r="E88" i="16"/>
  <c r="E71" i="16"/>
  <c r="E77" i="16"/>
  <c r="E36" i="16"/>
  <c r="E24" i="16"/>
  <c r="E9" i="16"/>
  <c r="E97" i="16"/>
  <c r="E92" i="16"/>
  <c r="J85" i="16"/>
  <c r="K85" i="16" s="1"/>
  <c r="E84" i="16"/>
  <c r="E86" i="16"/>
  <c r="J50" i="16"/>
  <c r="E65" i="16"/>
  <c r="E45" i="16"/>
  <c r="J26" i="16"/>
  <c r="E19" i="16"/>
  <c r="E2" i="16"/>
  <c r="E82" i="16"/>
  <c r="E68" i="16"/>
  <c r="J275" i="16"/>
  <c r="K275" i="16" s="1"/>
  <c r="J286" i="16"/>
  <c r="K286" i="16" s="1"/>
  <c r="J256" i="16"/>
  <c r="K256" i="16" s="1"/>
  <c r="J280" i="16"/>
  <c r="K280" i="16" s="1"/>
  <c r="J270" i="16"/>
  <c r="K270" i="16" s="1"/>
  <c r="E96" i="16"/>
  <c r="E123" i="16"/>
  <c r="E119" i="16"/>
  <c r="E109" i="16"/>
  <c r="E306" i="16"/>
  <c r="E110" i="16"/>
  <c r="E128" i="16"/>
  <c r="E161" i="16"/>
  <c r="E148" i="16"/>
  <c r="E142" i="16"/>
  <c r="E155" i="16"/>
  <c r="E189" i="16"/>
  <c r="E190" i="16"/>
  <c r="E136" i="16"/>
  <c r="E156" i="16"/>
  <c r="E178" i="16"/>
  <c r="E181" i="16"/>
  <c r="E196" i="16"/>
  <c r="E194" i="16"/>
  <c r="E198" i="16"/>
  <c r="E204" i="16"/>
  <c r="E206" i="16"/>
  <c r="E234" i="16"/>
  <c r="E212" i="16"/>
  <c r="E236" i="16"/>
  <c r="E277" i="16"/>
  <c r="E271" i="16"/>
  <c r="E121" i="16"/>
  <c r="E149" i="16"/>
  <c r="E314" i="16"/>
  <c r="E239" i="16"/>
  <c r="E266" i="16"/>
  <c r="E288" i="16"/>
  <c r="E192" i="16"/>
  <c r="E217" i="16"/>
  <c r="E214" i="16"/>
  <c r="E210" i="16"/>
  <c r="E259" i="16"/>
  <c r="E183" i="16"/>
  <c r="E191" i="16"/>
  <c r="E222" i="16"/>
  <c r="E246" i="16"/>
  <c r="E294" i="16"/>
  <c r="E274" i="16"/>
  <c r="E261" i="16"/>
  <c r="E295" i="16"/>
  <c r="E230" i="16"/>
  <c r="E267" i="16"/>
  <c r="E292" i="16"/>
  <c r="E300" i="16"/>
  <c r="E315" i="16"/>
  <c r="E304" i="16"/>
  <c r="E323" i="16"/>
  <c r="E338" i="16"/>
  <c r="E346" i="16"/>
  <c r="E352" i="16"/>
  <c r="E269" i="16"/>
  <c r="E291" i="16"/>
  <c r="E284" i="16"/>
  <c r="E324" i="16"/>
  <c r="E343" i="16"/>
  <c r="E349" i="16"/>
  <c r="E309" i="16"/>
  <c r="E311" i="16"/>
  <c r="E337" i="16"/>
  <c r="E112" i="16"/>
  <c r="E91" i="16"/>
  <c r="E102" i="16"/>
  <c r="E81" i="16"/>
  <c r="E39" i="16"/>
  <c r="E42" i="16"/>
  <c r="E15" i="16"/>
  <c r="E100" i="16"/>
  <c r="E70" i="16"/>
  <c r="E98" i="16"/>
  <c r="E351" i="16"/>
  <c r="E16" i="16"/>
  <c r="E3" i="16"/>
  <c r="E69" i="16"/>
  <c r="E46" i="16"/>
  <c r="E90" i="16"/>
  <c r="E106" i="16"/>
  <c r="E132" i="16"/>
  <c r="E328" i="16"/>
  <c r="E127" i="16"/>
  <c r="E139" i="16"/>
  <c r="E339" i="16"/>
  <c r="E114" i="16"/>
  <c r="E134" i="16"/>
  <c r="E138" i="16"/>
  <c r="E159" i="16"/>
  <c r="E165" i="16"/>
  <c r="E172" i="16"/>
  <c r="E147" i="16"/>
  <c r="E168" i="16"/>
  <c r="E313" i="16"/>
  <c r="E120" i="16"/>
  <c r="E153" i="16"/>
  <c r="E169" i="16"/>
  <c r="E186" i="16"/>
  <c r="E209" i="16"/>
  <c r="E205" i="16"/>
  <c r="E202" i="16"/>
  <c r="E233" i="16"/>
  <c r="E228" i="16"/>
  <c r="E244" i="16"/>
  <c r="E253" i="16"/>
  <c r="E283" i="16"/>
  <c r="E137" i="16"/>
  <c r="E164" i="16"/>
  <c r="E166" i="16"/>
  <c r="E325" i="16"/>
  <c r="E280" i="16"/>
  <c r="E173" i="16"/>
  <c r="E218" i="16"/>
  <c r="E225" i="16"/>
  <c r="E250" i="16"/>
  <c r="E264" i="16"/>
  <c r="E184" i="16"/>
  <c r="E219" i="16"/>
  <c r="E215" i="16"/>
  <c r="E247" i="16"/>
  <c r="E272" i="16"/>
  <c r="E297" i="16"/>
  <c r="E275" i="16"/>
  <c r="E286" i="16"/>
  <c r="E296" i="16"/>
  <c r="E254" i="16"/>
  <c r="E268" i="16"/>
  <c r="E303" i="16"/>
  <c r="E278" i="16"/>
  <c r="E287" i="16"/>
  <c r="E322" i="16"/>
  <c r="E331" i="16"/>
  <c r="E344" i="16"/>
  <c r="E301" i="16"/>
  <c r="E319" i="16"/>
  <c r="E334" i="16"/>
  <c r="E73" i="16"/>
  <c r="E94" i="16"/>
  <c r="E101" i="16"/>
  <c r="E57" i="16"/>
  <c r="E37" i="16"/>
  <c r="E21" i="16"/>
  <c r="E8" i="16"/>
  <c r="E85" i="16"/>
  <c r="E10" i="16"/>
  <c r="E30" i="16"/>
  <c r="E52" i="16"/>
  <c r="E31" i="16"/>
  <c r="E25" i="16"/>
  <c r="E54" i="16"/>
  <c r="E34" i="16"/>
  <c r="E18" i="16"/>
  <c r="E79" i="16"/>
  <c r="E108" i="16"/>
  <c r="E115" i="16"/>
  <c r="E104" i="16"/>
  <c r="E116" i="16"/>
  <c r="E76" i="16"/>
  <c r="E143" i="16"/>
  <c r="E140" i="16"/>
  <c r="E124" i="16"/>
  <c r="E146" i="16"/>
  <c r="E158" i="16"/>
  <c r="E188" i="16"/>
  <c r="E171" i="16"/>
  <c r="E345" i="16"/>
  <c r="E133" i="16"/>
  <c r="E152" i="16"/>
  <c r="E170" i="16"/>
  <c r="E160" i="16"/>
  <c r="E185" i="16"/>
  <c r="E175" i="16"/>
  <c r="E213" i="16"/>
  <c r="E179" i="16"/>
  <c r="E238" i="16"/>
  <c r="E220" i="16"/>
  <c r="E240" i="16"/>
  <c r="E227" i="16"/>
  <c r="E249" i="16"/>
  <c r="E258" i="16"/>
  <c r="E150" i="16"/>
  <c r="E130" i="16"/>
  <c r="E187" i="16"/>
  <c r="E305" i="16"/>
  <c r="E333" i="16"/>
  <c r="E282" i="16"/>
  <c r="E200" i="16"/>
  <c r="E195" i="16"/>
  <c r="E229" i="16"/>
  <c r="E242" i="16"/>
  <c r="E243" i="16"/>
  <c r="E167" i="16"/>
  <c r="E223" i="16"/>
  <c r="E221" i="16"/>
  <c r="E235" i="16"/>
  <c r="E248" i="16"/>
  <c r="E226" i="16"/>
  <c r="E298" i="16"/>
  <c r="E312" i="16"/>
  <c r="E265" i="16"/>
  <c r="E289" i="16"/>
  <c r="E251" i="16"/>
  <c r="E279" i="16"/>
  <c r="E285" i="16"/>
  <c r="E320" i="16"/>
  <c r="E273" i="16"/>
  <c r="E317" i="16"/>
  <c r="E308" i="16"/>
  <c r="E335" i="16"/>
  <c r="E342" i="16"/>
  <c r="E348" i="16"/>
  <c r="E299" i="16"/>
  <c r="E321" i="16"/>
  <c r="E332" i="16"/>
  <c r="E340" i="16"/>
  <c r="E310" i="16"/>
  <c r="E336" i="16"/>
  <c r="E350" i="16"/>
  <c r="E107" i="16"/>
  <c r="E80" i="16"/>
  <c r="E83" i="16"/>
  <c r="E48" i="16"/>
  <c r="E33" i="16"/>
  <c r="E29" i="16"/>
  <c r="E20" i="16"/>
  <c r="E61" i="16"/>
  <c r="E6" i="16"/>
  <c r="E44" i="16"/>
  <c r="E4" i="16"/>
  <c r="E49" i="16"/>
  <c r="J96" i="16"/>
  <c r="K96" i="16" s="1"/>
  <c r="J260" i="16"/>
  <c r="K260" i="16" s="1"/>
  <c r="J79" i="16"/>
  <c r="K79" i="16" s="1"/>
  <c r="J88" i="16"/>
  <c r="K88" i="16" s="1"/>
  <c r="J71" i="16"/>
  <c r="K71" i="16" s="1"/>
  <c r="J77" i="16"/>
  <c r="K77" i="16" s="1"/>
  <c r="J36" i="16"/>
  <c r="J24" i="16"/>
  <c r="J9" i="16"/>
  <c r="J102" i="16"/>
  <c r="K102" i="16" s="1"/>
  <c r="J39" i="16"/>
  <c r="K39" i="16" s="1"/>
  <c r="J190" i="16"/>
  <c r="K190" i="16" s="1"/>
  <c r="J89" i="16"/>
  <c r="K89" i="16" s="1"/>
  <c r="J257" i="16"/>
  <c r="K257" i="16" s="1"/>
  <c r="J254" i="16"/>
  <c r="K254" i="16" s="1"/>
  <c r="J285" i="16"/>
  <c r="K285" i="16" s="1"/>
  <c r="J249" i="16"/>
  <c r="K249" i="16" s="1"/>
  <c r="J261" i="16"/>
  <c r="K261" i="16" s="1"/>
  <c r="J87" i="16"/>
  <c r="J82" i="16"/>
  <c r="K82" i="16" s="1"/>
  <c r="J68" i="16"/>
  <c r="J54" i="16"/>
  <c r="K54" i="16" s="1"/>
  <c r="J34" i="16"/>
  <c r="J18" i="16"/>
  <c r="J22" i="16"/>
  <c r="J83" i="16"/>
  <c r="K83" i="16" s="1"/>
  <c r="J81" i="16"/>
  <c r="K81" i="16" s="1"/>
  <c r="J33" i="16"/>
  <c r="K33" i="16" s="1"/>
  <c r="J7" i="16"/>
  <c r="J204" i="16"/>
  <c r="K204" i="16" s="1"/>
  <c r="J212" i="16"/>
  <c r="K212" i="16" s="1"/>
  <c r="J67" i="16"/>
  <c r="K67" i="16" s="1"/>
  <c r="J35" i="16"/>
  <c r="J162" i="16"/>
  <c r="K162" i="16" s="1"/>
  <c r="J126" i="16"/>
  <c r="J135" i="16"/>
  <c r="K135" i="16" s="1"/>
  <c r="J100" i="16"/>
  <c r="K100" i="16" s="1"/>
  <c r="J62" i="16"/>
  <c r="J53" i="16"/>
  <c r="J64" i="16"/>
  <c r="K64" i="16" s="1"/>
  <c r="J23" i="16"/>
  <c r="J17" i="16"/>
  <c r="J92" i="16"/>
  <c r="K92" i="16" s="1"/>
  <c r="J104" i="16"/>
  <c r="K104" i="16" s="1"/>
  <c r="J119" i="16"/>
  <c r="K119" i="16" s="1"/>
  <c r="J116" i="16"/>
  <c r="K116" i="16" s="1"/>
  <c r="J109" i="16"/>
  <c r="K109" i="16" s="1"/>
  <c r="J120" i="16"/>
  <c r="K120" i="16" s="1"/>
  <c r="J153" i="16"/>
  <c r="K153" i="16" s="1"/>
  <c r="J169" i="16"/>
  <c r="K169" i="16" s="1"/>
  <c r="J173" i="16"/>
  <c r="K173" i="16" s="1"/>
  <c r="J225" i="16"/>
  <c r="K225" i="16" s="1"/>
  <c r="J144" i="16"/>
  <c r="K144" i="16" s="1"/>
  <c r="J137" i="16"/>
  <c r="K137" i="16" s="1"/>
  <c r="J157" i="16"/>
  <c r="K157" i="16" s="1"/>
  <c r="J164" i="16"/>
  <c r="K164" i="16" s="1"/>
  <c r="J141" i="16"/>
  <c r="K141" i="16" s="1"/>
  <c r="J166" i="16"/>
  <c r="K166" i="16" s="1"/>
  <c r="J274" i="16"/>
  <c r="K274" i="16" s="1"/>
  <c r="J272" i="16"/>
  <c r="K272" i="16" s="1"/>
  <c r="J140" i="16"/>
  <c r="K140" i="16" s="1"/>
  <c r="J124" i="16"/>
  <c r="K124" i="16" s="1"/>
  <c r="J146" i="16"/>
  <c r="K146" i="16" s="1"/>
  <c r="J158" i="16"/>
  <c r="K158" i="16" s="1"/>
  <c r="J188" i="16"/>
  <c r="K188" i="16" s="1"/>
  <c r="J186" i="16"/>
  <c r="K186" i="16" s="1"/>
  <c r="J205" i="16"/>
  <c r="K205" i="16" s="1"/>
  <c r="J233" i="16"/>
  <c r="K233" i="16" s="1"/>
  <c r="J248" i="16"/>
  <c r="K248" i="16" s="1"/>
  <c r="J184" i="16"/>
  <c r="K184" i="16" s="1"/>
  <c r="J199" i="16"/>
  <c r="K199" i="16" s="1"/>
  <c r="J219" i="16"/>
  <c r="K219" i="16" s="1"/>
  <c r="J207" i="16"/>
  <c r="K207" i="16" s="1"/>
  <c r="J215" i="16"/>
  <c r="K215" i="16" s="1"/>
  <c r="J203" i="16"/>
  <c r="K203" i="16" s="1"/>
  <c r="J247" i="16"/>
  <c r="K247" i="16" s="1"/>
  <c r="J255" i="16"/>
  <c r="K255" i="16" s="1"/>
  <c r="J241" i="16"/>
  <c r="K241" i="16" s="1"/>
  <c r="J168" i="16"/>
  <c r="K168" i="16" s="1"/>
  <c r="J240" i="16"/>
  <c r="K240" i="16" s="1"/>
  <c r="J227" i="16"/>
  <c r="K227" i="16" s="1"/>
  <c r="J293" i="16"/>
  <c r="K293" i="16" s="1"/>
  <c r="J292" i="16"/>
  <c r="K292" i="16" s="1"/>
  <c r="J303" i="16"/>
  <c r="K303" i="16" s="1"/>
  <c r="J320" i="16"/>
  <c r="K320" i="16" s="1"/>
  <c r="J313" i="16"/>
  <c r="K313" i="16" s="1"/>
  <c r="J328" i="16"/>
  <c r="K328" i="16" s="1"/>
  <c r="J345" i="16"/>
  <c r="K345" i="16" s="1"/>
  <c r="J273" i="16"/>
  <c r="K273" i="16" s="1"/>
  <c r="J317" i="16"/>
  <c r="K317" i="16" s="1"/>
  <c r="J308" i="16"/>
  <c r="K308" i="16" s="1"/>
  <c r="J335" i="16"/>
  <c r="K335" i="16" s="1"/>
  <c r="J342" i="16"/>
  <c r="K342" i="16" s="1"/>
  <c r="J348" i="16"/>
  <c r="K348" i="16" s="1"/>
  <c r="J214" i="16"/>
  <c r="K214" i="16" s="1"/>
  <c r="J217" i="16"/>
  <c r="K217" i="16" s="1"/>
  <c r="J192" i="16"/>
  <c r="K192" i="16" s="1"/>
  <c r="J106" i="16"/>
  <c r="K106" i="16" s="1"/>
  <c r="J105" i="16"/>
  <c r="K105" i="16" s="1"/>
  <c r="J103" i="16"/>
  <c r="K103" i="16" s="1"/>
  <c r="J58" i="16"/>
  <c r="K58" i="16" s="1"/>
  <c r="J43" i="16"/>
  <c r="K43" i="16" s="1"/>
  <c r="J32" i="16"/>
  <c r="J28" i="16"/>
  <c r="J8" i="16"/>
  <c r="J57" i="16"/>
  <c r="J48" i="16"/>
  <c r="J42" i="16"/>
  <c r="J148" i="16"/>
  <c r="K148" i="16" s="1"/>
  <c r="J155" i="16"/>
  <c r="K155" i="16" s="1"/>
  <c r="J295" i="16"/>
  <c r="K295" i="16" s="1"/>
  <c r="J51" i="16"/>
  <c r="J13" i="16"/>
  <c r="K13" i="16" s="1"/>
  <c r="J123" i="16"/>
  <c r="K123" i="16" s="1"/>
  <c r="J259" i="16"/>
  <c r="K259" i="16" s="1"/>
  <c r="J115" i="16"/>
  <c r="K115" i="16" s="1"/>
  <c r="J99" i="16"/>
  <c r="K99" i="16" s="1"/>
  <c r="J84" i="16"/>
  <c r="J86" i="16"/>
  <c r="K86" i="16" s="1"/>
  <c r="J65" i="16"/>
  <c r="J45" i="16"/>
  <c r="K45" i="16" s="1"/>
  <c r="J19" i="16"/>
  <c r="J2" i="16"/>
  <c r="J111" i="16"/>
  <c r="K111" i="16" s="1"/>
  <c r="J114" i="16"/>
  <c r="K114" i="16" s="1"/>
  <c r="J131" i="16"/>
  <c r="K131" i="16" s="1"/>
  <c r="J197" i="16"/>
  <c r="K197" i="16" s="1"/>
  <c r="J107" i="16"/>
  <c r="K107" i="16" s="1"/>
  <c r="J129" i="16"/>
  <c r="K129" i="16" s="1"/>
  <c r="J112" i="16"/>
  <c r="J298" i="16"/>
  <c r="K298" i="16" s="1"/>
  <c r="J176" i="16"/>
  <c r="K176" i="16" s="1"/>
  <c r="J224" i="16"/>
  <c r="K224" i="16" s="1"/>
  <c r="J268" i="16"/>
  <c r="K268" i="16" s="1"/>
  <c r="J263" i="16"/>
  <c r="K263" i="16" s="1"/>
  <c r="J283" i="16"/>
  <c r="K283" i="16" s="1"/>
  <c r="J276" i="16"/>
  <c r="K276" i="16" s="1"/>
  <c r="J278" i="16"/>
  <c r="K278" i="16" s="1"/>
  <c r="J264" i="16"/>
  <c r="K264" i="16" s="1"/>
  <c r="J243" i="16"/>
  <c r="K243" i="16" s="1"/>
  <c r="J266" i="16"/>
  <c r="K266" i="16" s="1"/>
  <c r="J282" i="16"/>
  <c r="K282" i="16" s="1"/>
  <c r="J288" i="16"/>
  <c r="K288" i="16" s="1"/>
  <c r="J289" i="16"/>
  <c r="K289" i="16" s="1"/>
  <c r="J318" i="16"/>
  <c r="K318" i="16" s="1"/>
  <c r="J325" i="16"/>
  <c r="K325" i="16" s="1"/>
  <c r="J347" i="16"/>
  <c r="K347" i="16" s="1"/>
  <c r="J301" i="16"/>
  <c r="K301" i="16" s="1"/>
  <c r="J316" i="16"/>
  <c r="K316" i="16" s="1"/>
  <c r="J319" i="16"/>
  <c r="K319" i="16" s="1"/>
  <c r="J326" i="16"/>
  <c r="K326" i="16" s="1"/>
  <c r="J334" i="16"/>
  <c r="K334" i="16" s="1"/>
  <c r="J341" i="16"/>
  <c r="K341" i="16" s="1"/>
  <c r="J113" i="16"/>
  <c r="K113" i="16" s="1"/>
  <c r="J60" i="16"/>
  <c r="J56" i="16"/>
  <c r="J40" i="16"/>
  <c r="K40" i="16" s="1"/>
  <c r="J38" i="16"/>
  <c r="J5" i="16"/>
  <c r="J21" i="16"/>
  <c r="J74" i="16"/>
  <c r="J55" i="16"/>
  <c r="J80" i="16"/>
  <c r="K80" i="16" s="1"/>
  <c r="J41" i="16"/>
  <c r="K41" i="16" s="1"/>
  <c r="J75" i="16"/>
  <c r="K75" i="16" s="1"/>
  <c r="J15" i="16"/>
  <c r="D72" i="1"/>
  <c r="P72" i="1"/>
  <c r="N9" i="14" s="1"/>
  <c r="J7" i="14"/>
  <c r="J15" i="14"/>
  <c r="D100" i="1"/>
  <c r="N6" i="14" s="1"/>
  <c r="D44" i="1"/>
  <c r="N4" i="14" s="1"/>
  <c r="P44" i="1"/>
  <c r="N8" i="14" s="1"/>
  <c r="P16" i="1"/>
  <c r="J11" i="14"/>
  <c r="D16" i="1"/>
  <c r="J3" i="14"/>
  <c r="G319" i="10"/>
  <c r="C281" i="16" s="1"/>
  <c r="G78" i="10"/>
  <c r="C89" i="16" s="1"/>
  <c r="G62" i="10"/>
  <c r="C67" i="16" s="1"/>
  <c r="G46" i="10"/>
  <c r="C51" i="16" s="1"/>
  <c r="G30" i="10"/>
  <c r="C35" i="16" s="1"/>
  <c r="G14" i="10"/>
  <c r="C13" i="16" s="1"/>
  <c r="G75" i="10"/>
  <c r="C60" i="16" s="1"/>
  <c r="G59" i="10"/>
  <c r="C56" i="16" s="1"/>
  <c r="G43" i="10"/>
  <c r="C40" i="16" s="1"/>
  <c r="G27" i="10"/>
  <c r="C38" i="16" s="1"/>
  <c r="G11" i="10"/>
  <c r="C5" i="16" s="1"/>
  <c r="G93" i="10"/>
  <c r="C92" i="16" s="1"/>
  <c r="G38" i="10"/>
  <c r="C45" i="16" s="1"/>
  <c r="G22" i="10"/>
  <c r="C19" i="16" s="1"/>
  <c r="G6" i="10"/>
  <c r="C2" i="16" s="1"/>
  <c r="G303" i="10"/>
  <c r="C306" i="16" s="1"/>
  <c r="G70" i="10"/>
  <c r="C86" i="16" s="1"/>
  <c r="G54" i="10"/>
  <c r="C65" i="16" s="1"/>
  <c r="G67" i="10"/>
  <c r="C68" i="16" s="1"/>
  <c r="G51" i="10"/>
  <c r="C54" i="16" s="1"/>
  <c r="G35" i="10"/>
  <c r="C34" i="16" s="1"/>
  <c r="G90" i="10"/>
  <c r="C79" i="16" s="1"/>
  <c r="G106" i="10"/>
  <c r="C108" i="16" s="1"/>
  <c r="G122" i="10"/>
  <c r="C115" i="16" s="1"/>
  <c r="G143" i="10"/>
  <c r="C124" i="16" s="1"/>
  <c r="G159" i="10"/>
  <c r="C158" i="16" s="1"/>
  <c r="G175" i="10"/>
  <c r="C171" i="16" s="1"/>
  <c r="G343" i="10"/>
  <c r="C345" i="16" s="1"/>
  <c r="G133" i="10"/>
  <c r="C133" i="16" s="1"/>
  <c r="G149" i="10"/>
  <c r="C152" i="16" s="1"/>
  <c r="G165" i="10"/>
  <c r="C170" i="16" s="1"/>
  <c r="G176" i="10"/>
  <c r="C160" i="16" s="1"/>
  <c r="G188" i="10"/>
  <c r="C185" i="16" s="1"/>
  <c r="G204" i="10"/>
  <c r="C213" i="16" s="1"/>
  <c r="G220" i="10"/>
  <c r="C238" i="16" s="1"/>
  <c r="G236" i="10"/>
  <c r="C240" i="16" s="1"/>
  <c r="G269" i="10"/>
  <c r="C258" i="16" s="1"/>
  <c r="G307" i="10"/>
  <c r="C305" i="16" s="1"/>
  <c r="G339" i="10"/>
  <c r="C333" i="16" s="1"/>
  <c r="G253" i="10"/>
  <c r="C226" i="16" s="1"/>
  <c r="G301" i="10"/>
  <c r="C312" i="16" s="1"/>
  <c r="G298" i="10"/>
  <c r="C289" i="16" s="1"/>
  <c r="G299" i="10"/>
  <c r="C320" i="16" s="1"/>
  <c r="G308" i="10"/>
  <c r="C273" i="16" s="1"/>
  <c r="G316" i="10"/>
  <c r="C317" i="16" s="1"/>
  <c r="G324" i="10"/>
  <c r="C308" i="16" s="1"/>
  <c r="G332" i="10"/>
  <c r="C335" i="16" s="1"/>
  <c r="G340" i="10"/>
  <c r="C342" i="16" s="1"/>
  <c r="G348" i="10"/>
  <c r="C348" i="16" s="1"/>
  <c r="G58" i="10"/>
  <c r="C53" i="16" s="1"/>
  <c r="G111" i="10"/>
  <c r="C97" i="16" s="1"/>
  <c r="G86" i="10"/>
  <c r="C84" i="16" s="1"/>
  <c r="G83" i="10"/>
  <c r="C82" i="16" s="1"/>
  <c r="G19" i="10"/>
  <c r="C18" i="16" s="1"/>
  <c r="G119" i="10"/>
  <c r="C125" i="16" s="1"/>
  <c r="G96" i="10"/>
  <c r="C105" i="16" s="1"/>
  <c r="G82" i="10"/>
  <c r="C95" i="16" s="1"/>
  <c r="G66" i="10"/>
  <c r="C59" i="16" s="1"/>
  <c r="G50" i="10"/>
  <c r="C47" i="16" s="1"/>
  <c r="G34" i="10"/>
  <c r="C27" i="16" s="1"/>
  <c r="G18" i="10"/>
  <c r="C12" i="16" s="1"/>
  <c r="G2" i="10"/>
  <c r="C7" i="16" s="1"/>
  <c r="G102" i="10"/>
  <c r="C87" i="16" s="1"/>
  <c r="G118" i="10"/>
  <c r="C113" i="16" s="1"/>
  <c r="G178" i="10"/>
  <c r="C176" i="16" s="1"/>
  <c r="G113" i="10"/>
  <c r="C117" i="16" s="1"/>
  <c r="G145" i="10"/>
  <c r="C145" i="16" s="1"/>
  <c r="G114" i="10"/>
  <c r="C123" i="16" s="1"/>
  <c r="G139" i="10"/>
  <c r="C148" i="16" s="1"/>
  <c r="G147" i="10"/>
  <c r="C142" i="16" s="1"/>
  <c r="G155" i="10"/>
  <c r="C155" i="16" s="1"/>
  <c r="G163" i="10"/>
  <c r="C189" i="16" s="1"/>
  <c r="G171" i="10"/>
  <c r="C190" i="16" s="1"/>
  <c r="G179" i="10"/>
  <c r="C181" i="16" s="1"/>
  <c r="G184" i="10"/>
  <c r="C196" i="16" s="1"/>
  <c r="G200" i="10"/>
  <c r="C198" i="16" s="1"/>
  <c r="G216" i="10"/>
  <c r="C206" i="16" s="1"/>
  <c r="G232" i="10"/>
  <c r="C212" i="16" s="1"/>
  <c r="G261" i="10"/>
  <c r="C277" i="16" s="1"/>
  <c r="G277" i="10"/>
  <c r="C271" i="16" s="1"/>
  <c r="G323" i="10"/>
  <c r="C314" i="16" s="1"/>
  <c r="G258" i="10"/>
  <c r="C259" i="16" s="1"/>
  <c r="G266" i="10"/>
  <c r="C274" i="16" s="1"/>
  <c r="G312" i="10"/>
  <c r="C315" i="16" s="1"/>
  <c r="G328" i="10"/>
  <c r="C323" i="16" s="1"/>
  <c r="G344" i="10"/>
  <c r="C346" i="16" s="1"/>
  <c r="G103" i="10"/>
  <c r="C118" i="16" s="1"/>
  <c r="G74" i="10"/>
  <c r="C62" i="16" s="1"/>
  <c r="G42" i="10"/>
  <c r="C64" i="16" s="1"/>
  <c r="G26" i="10"/>
  <c r="C23" i="16" s="1"/>
  <c r="G10" i="10"/>
  <c r="C17" i="16" s="1"/>
  <c r="G110" i="10"/>
  <c r="C106" i="16" s="1"/>
  <c r="G126" i="10"/>
  <c r="C132" i="16" s="1"/>
  <c r="G105" i="10"/>
  <c r="C127" i="16" s="1"/>
  <c r="G121" i="10"/>
  <c r="C139" i="16" s="1"/>
  <c r="G335" i="10"/>
  <c r="C339" i="16" s="1"/>
  <c r="G134" i="10"/>
  <c r="C134" i="16" s="1"/>
  <c r="G142" i="10"/>
  <c r="C138" i="16" s="1"/>
  <c r="G150" i="10"/>
  <c r="C159" i="16" s="1"/>
  <c r="G158" i="10"/>
  <c r="C165" i="16" s="1"/>
  <c r="G166" i="10"/>
  <c r="C172" i="16" s="1"/>
  <c r="G174" i="10"/>
  <c r="C147" i="16" s="1"/>
  <c r="G137" i="10"/>
  <c r="C120" i="16" s="1"/>
  <c r="G153" i="10"/>
  <c r="C153" i="16" s="1"/>
  <c r="G169" i="10"/>
  <c r="C169" i="16" s="1"/>
  <c r="G187" i="10"/>
  <c r="C186" i="16" s="1"/>
  <c r="G195" i="10"/>
  <c r="C209" i="16" s="1"/>
  <c r="G203" i="10"/>
  <c r="C205" i="16" s="1"/>
  <c r="G211" i="10"/>
  <c r="C202" i="16" s="1"/>
  <c r="G219" i="10"/>
  <c r="C233" i="16" s="1"/>
  <c r="G227" i="10"/>
  <c r="C228" i="16" s="1"/>
  <c r="G235" i="10"/>
  <c r="C244" i="16" s="1"/>
  <c r="G243" i="10"/>
  <c r="C253" i="16" s="1"/>
  <c r="G265" i="10"/>
  <c r="C283" i="16" s="1"/>
  <c r="G135" i="10"/>
  <c r="C140" i="16" s="1"/>
  <c r="G151" i="10"/>
  <c r="C146" i="16" s="1"/>
  <c r="G167" i="10"/>
  <c r="C188" i="16" s="1"/>
  <c r="G196" i="10"/>
  <c r="C175" i="16" s="1"/>
  <c r="G212" i="10"/>
  <c r="C179" i="16" s="1"/>
  <c r="G228" i="10"/>
  <c r="C220" i="16" s="1"/>
  <c r="G244" i="10"/>
  <c r="C227" i="16" s="1"/>
  <c r="G251" i="10"/>
  <c r="C249" i="16" s="1"/>
  <c r="G285" i="10"/>
  <c r="C298" i="16" s="1"/>
  <c r="G250" i="10"/>
  <c r="C262" i="16" s="1"/>
  <c r="G289" i="10"/>
  <c r="C302" i="16" s="1"/>
  <c r="G117" i="10"/>
  <c r="C116" i="16" s="1"/>
  <c r="G271" i="10"/>
  <c r="C282" i="16" s="1"/>
  <c r="G194" i="10"/>
  <c r="C200" i="16" s="1"/>
  <c r="G210" i="10"/>
  <c r="C195" i="16" s="1"/>
  <c r="G226" i="10"/>
  <c r="C229" i="16" s="1"/>
  <c r="G242" i="10"/>
  <c r="C242" i="16" s="1"/>
  <c r="G255" i="10"/>
  <c r="C243" i="16" s="1"/>
  <c r="G252" i="10"/>
  <c r="C251" i="16" s="1"/>
  <c r="G292" i="10"/>
  <c r="C299" i="16" s="1"/>
  <c r="G310" i="10"/>
  <c r="C321" i="16" s="1"/>
  <c r="G326" i="10"/>
  <c r="C332" i="16" s="1"/>
  <c r="G342" i="10"/>
  <c r="C340" i="16" s="1"/>
  <c r="G317" i="10"/>
  <c r="C310" i="16" s="1"/>
  <c r="G333" i="10"/>
  <c r="C336" i="16" s="1"/>
  <c r="G349" i="10"/>
  <c r="C350" i="16" s="1"/>
  <c r="G107" i="10"/>
  <c r="C107" i="16" s="1"/>
  <c r="G3" i="10"/>
  <c r="C6" i="16" s="1"/>
  <c r="G112" i="10"/>
  <c r="C76" i="16" s="1"/>
  <c r="G168" i="10"/>
  <c r="C187" i="16" s="1"/>
  <c r="G181" i="10"/>
  <c r="C167" i="16" s="1"/>
  <c r="G213" i="10"/>
  <c r="C221" i="16" s="1"/>
  <c r="G245" i="10"/>
  <c r="C248" i="16" s="1"/>
  <c r="G274" i="10"/>
  <c r="C265" i="16" s="1"/>
  <c r="G286" i="10"/>
  <c r="C285" i="16" s="1"/>
  <c r="G88" i="10"/>
  <c r="C80" i="16" s="1"/>
  <c r="G72" i="10"/>
  <c r="C83" i="16" s="1"/>
  <c r="G56" i="10"/>
  <c r="C48" i="16" s="1"/>
  <c r="G40" i="10"/>
  <c r="C33" i="16" s="1"/>
  <c r="G24" i="10"/>
  <c r="C29" i="16" s="1"/>
  <c r="G8" i="10"/>
  <c r="C20" i="16" s="1"/>
  <c r="G41" i="10"/>
  <c r="C61" i="16" s="1"/>
  <c r="G45" i="10"/>
  <c r="C44" i="16" s="1"/>
  <c r="G4" i="10"/>
  <c r="C4" i="16" s="1"/>
  <c r="G65" i="10"/>
  <c r="C49" i="16" s="1"/>
  <c r="G101" i="10"/>
  <c r="C104" i="16" s="1"/>
  <c r="G152" i="10"/>
  <c r="C130" i="16" s="1"/>
  <c r="G197" i="10"/>
  <c r="C223" i="16" s="1"/>
  <c r="G229" i="10"/>
  <c r="C235" i="16" s="1"/>
  <c r="G268" i="10"/>
  <c r="C279" i="16" s="1"/>
  <c r="G79" i="10"/>
  <c r="C103" i="16" s="1"/>
  <c r="G63" i="10"/>
  <c r="G47" i="10"/>
  <c r="C43" i="16" s="1"/>
  <c r="G31" i="10"/>
  <c r="C32" i="16" s="1"/>
  <c r="G15" i="10"/>
  <c r="C28" i="16" s="1"/>
  <c r="G108" i="10"/>
  <c r="C111" i="16" s="1"/>
  <c r="G124" i="10"/>
  <c r="C131" i="16" s="1"/>
  <c r="G130" i="10"/>
  <c r="C135" i="16" s="1"/>
  <c r="G138" i="10"/>
  <c r="C93" i="16" s="1"/>
  <c r="G146" i="10"/>
  <c r="C126" i="16" s="1"/>
  <c r="G154" i="10"/>
  <c r="C163" i="16" s="1"/>
  <c r="G162" i="10"/>
  <c r="C162" i="16" s="1"/>
  <c r="G170" i="10"/>
  <c r="C174" i="16" s="1"/>
  <c r="G129" i="10"/>
  <c r="C122" i="16" s="1"/>
  <c r="G161" i="10"/>
  <c r="C177" i="16" s="1"/>
  <c r="G183" i="10"/>
  <c r="C193" i="16" s="1"/>
  <c r="G191" i="10"/>
  <c r="C180" i="16" s="1"/>
  <c r="G199" i="10"/>
  <c r="C182" i="16" s="1"/>
  <c r="G207" i="10"/>
  <c r="C208" i="16" s="1"/>
  <c r="G215" i="10"/>
  <c r="C211" i="16" s="1"/>
  <c r="G223" i="10"/>
  <c r="C231" i="16" s="1"/>
  <c r="G231" i="10"/>
  <c r="C216" i="16" s="1"/>
  <c r="G239" i="10"/>
  <c r="C224" i="16" s="1"/>
  <c r="G246" i="10"/>
  <c r="C245" i="16" s="1"/>
  <c r="G257" i="10"/>
  <c r="C263" i="16" s="1"/>
  <c r="G273" i="10"/>
  <c r="C276" i="16" s="1"/>
  <c r="G132" i="10"/>
  <c r="C144" i="16" s="1"/>
  <c r="G148" i="10"/>
  <c r="C157" i="16" s="1"/>
  <c r="G164" i="10"/>
  <c r="C141" i="16" s="1"/>
  <c r="G315" i="10"/>
  <c r="C318" i="16" s="1"/>
  <c r="G347" i="10"/>
  <c r="C347" i="16" s="1"/>
  <c r="G249" i="10"/>
  <c r="C252" i="16" s="1"/>
  <c r="G259" i="10"/>
  <c r="C256" i="16" s="1"/>
  <c r="G275" i="10"/>
  <c r="C270" i="16" s="1"/>
  <c r="G190" i="10"/>
  <c r="C201" i="16" s="1"/>
  <c r="G206" i="10"/>
  <c r="C197" i="16" s="1"/>
  <c r="G222" i="10"/>
  <c r="C237" i="16" s="1"/>
  <c r="G238" i="10"/>
  <c r="C232" i="16" s="1"/>
  <c r="G177" i="10"/>
  <c r="C154" i="16" s="1"/>
  <c r="G193" i="10"/>
  <c r="C199" i="16" s="1"/>
  <c r="G209" i="10"/>
  <c r="C207" i="16" s="1"/>
  <c r="G225" i="10"/>
  <c r="C203" i="16" s="1"/>
  <c r="G241" i="10"/>
  <c r="C255" i="16" s="1"/>
  <c r="G270" i="10"/>
  <c r="C260" i="16" s="1"/>
  <c r="G287" i="10"/>
  <c r="C290" i="16" s="1"/>
  <c r="G248" i="10"/>
  <c r="C241" i="16" s="1"/>
  <c r="G264" i="10"/>
  <c r="C257" i="16" s="1"/>
  <c r="G294" i="10"/>
  <c r="C307" i="16" s="1"/>
  <c r="G288" i="10"/>
  <c r="C293" i="16" s="1"/>
  <c r="G306" i="10"/>
  <c r="C327" i="16" s="1"/>
  <c r="G322" i="10"/>
  <c r="C330" i="16" s="1"/>
  <c r="G338" i="10"/>
  <c r="C329" i="16" s="1"/>
  <c r="G313" i="10"/>
  <c r="C316" i="16" s="1"/>
  <c r="G329" i="10"/>
  <c r="C326" i="16" s="1"/>
  <c r="G345" i="10"/>
  <c r="C341" i="16" s="1"/>
  <c r="G115" i="10"/>
  <c r="C129" i="16" s="1"/>
  <c r="G84" i="10"/>
  <c r="C74" i="16" s="1"/>
  <c r="G68" i="10"/>
  <c r="C75" i="16" s="1"/>
  <c r="G52" i="10"/>
  <c r="C55" i="16" s="1"/>
  <c r="G36" i="10"/>
  <c r="C41" i="16" s="1"/>
  <c r="G20" i="10"/>
  <c r="C22" i="16" s="1"/>
  <c r="G99" i="10"/>
  <c r="C99" i="16" s="1"/>
  <c r="G57" i="10"/>
  <c r="C50" i="16" s="1"/>
  <c r="G17" i="10"/>
  <c r="C11" i="16" s="1"/>
  <c r="G61" i="10"/>
  <c r="C63" i="16" s="1"/>
  <c r="G25" i="10"/>
  <c r="C26" i="16" s="1"/>
  <c r="G81" i="10"/>
  <c r="C66" i="16" s="1"/>
  <c r="G85" i="10"/>
  <c r="C72" i="16" s="1"/>
  <c r="G9" i="10"/>
  <c r="C14" i="16" s="1"/>
  <c r="G128" i="10"/>
  <c r="C143" i="16" s="1"/>
  <c r="G127" i="10"/>
  <c r="C151" i="16" s="1"/>
  <c r="G98" i="10"/>
  <c r="C96" i="16" s="1"/>
  <c r="G109" i="10"/>
  <c r="C119" i="16" s="1"/>
  <c r="G125" i="10"/>
  <c r="C109" i="16" s="1"/>
  <c r="G104" i="10"/>
  <c r="C110" i="16" s="1"/>
  <c r="G120" i="10"/>
  <c r="C128" i="16" s="1"/>
  <c r="G131" i="10"/>
  <c r="C161" i="16" s="1"/>
  <c r="G141" i="10"/>
  <c r="C136" i="16" s="1"/>
  <c r="G157" i="10"/>
  <c r="C156" i="16" s="1"/>
  <c r="G173" i="10"/>
  <c r="C178" i="16" s="1"/>
  <c r="G192" i="10"/>
  <c r="C194" i="16" s="1"/>
  <c r="G208" i="10"/>
  <c r="C204" i="16" s="1"/>
  <c r="G224" i="10"/>
  <c r="C234" i="16" s="1"/>
  <c r="G240" i="10"/>
  <c r="C236" i="16" s="1"/>
  <c r="G144" i="10"/>
  <c r="C121" i="16" s="1"/>
  <c r="G160" i="10"/>
  <c r="C149" i="16" s="1"/>
  <c r="G254" i="10"/>
  <c r="C239" i="16" s="1"/>
  <c r="G263" i="10"/>
  <c r="C266" i="16" s="1"/>
  <c r="G279" i="10"/>
  <c r="C288" i="16" s="1"/>
  <c r="G186" i="10"/>
  <c r="C192" i="16" s="1"/>
  <c r="G202" i="10"/>
  <c r="C217" i="16" s="1"/>
  <c r="G218" i="10"/>
  <c r="C214" i="16" s="1"/>
  <c r="G234" i="10"/>
  <c r="C210" i="16" s="1"/>
  <c r="G189" i="10"/>
  <c r="C183" i="16" s="1"/>
  <c r="G205" i="10"/>
  <c r="C191" i="16" s="1"/>
  <c r="G221" i="10"/>
  <c r="C222" i="16" s="1"/>
  <c r="G237" i="10"/>
  <c r="C246" i="16" s="1"/>
  <c r="G293" i="10"/>
  <c r="C294" i="16" s="1"/>
  <c r="G282" i="10"/>
  <c r="C261" i="16" s="1"/>
  <c r="G295" i="10"/>
  <c r="C295" i="16" s="1"/>
  <c r="G260" i="10"/>
  <c r="C230" i="16" s="1"/>
  <c r="G276" i="10"/>
  <c r="C267" i="16" s="1"/>
  <c r="G283" i="10"/>
  <c r="C292" i="16" s="1"/>
  <c r="G304" i="10"/>
  <c r="C300" i="16" s="1"/>
  <c r="G320" i="10"/>
  <c r="C304" i="16" s="1"/>
  <c r="G336" i="10"/>
  <c r="C338" i="16" s="1"/>
  <c r="G352" i="10"/>
  <c r="C352" i="16" s="1"/>
  <c r="G284" i="10"/>
  <c r="C269" i="16" s="1"/>
  <c r="G300" i="10"/>
  <c r="C291" i="16" s="1"/>
  <c r="G302" i="10"/>
  <c r="C284" i="16" s="1"/>
  <c r="G318" i="10"/>
  <c r="C324" i="16" s="1"/>
  <c r="G334" i="10"/>
  <c r="C343" i="16" s="1"/>
  <c r="G350" i="10"/>
  <c r="C349" i="16" s="1"/>
  <c r="G309" i="10"/>
  <c r="C309" i="16" s="1"/>
  <c r="G325" i="10"/>
  <c r="C311" i="16" s="1"/>
  <c r="G341" i="10"/>
  <c r="C337" i="16" s="1"/>
  <c r="G123" i="10"/>
  <c r="C112" i="16" s="1"/>
  <c r="G97" i="10"/>
  <c r="C91" i="16" s="1"/>
  <c r="G80" i="10"/>
  <c r="C102" i="16" s="1"/>
  <c r="G64" i="10"/>
  <c r="C81" i="16" s="1"/>
  <c r="G48" i="10"/>
  <c r="C39" i="16" s="1"/>
  <c r="G32" i="10"/>
  <c r="C42" i="16" s="1"/>
  <c r="G16" i="10"/>
  <c r="C15" i="16" s="1"/>
  <c r="G91" i="10"/>
  <c r="C100" i="16" s="1"/>
  <c r="G73" i="10"/>
  <c r="C70" i="16" s="1"/>
  <c r="G77" i="10"/>
  <c r="C98" i="16" s="1"/>
  <c r="G351" i="10"/>
  <c r="C351" i="16" s="1"/>
  <c r="G33" i="10"/>
  <c r="C16" i="16" s="1"/>
  <c r="G5" i="10"/>
  <c r="C3" i="16" s="1"/>
  <c r="G69" i="10"/>
  <c r="C69" i="16" s="1"/>
  <c r="G53" i="10"/>
  <c r="C46" i="16" s="1"/>
  <c r="G136" i="10"/>
  <c r="C150" i="16" s="1"/>
  <c r="G95" i="10"/>
  <c r="C78" i="16" s="1"/>
  <c r="G87" i="10"/>
  <c r="C88" i="16" s="1"/>
  <c r="G71" i="10"/>
  <c r="C71" i="16" s="1"/>
  <c r="G55" i="10"/>
  <c r="C77" i="16" s="1"/>
  <c r="G39" i="10"/>
  <c r="C36" i="16" s="1"/>
  <c r="G23" i="10"/>
  <c r="C24" i="16" s="1"/>
  <c r="G7" i="10"/>
  <c r="C9" i="16" s="1"/>
  <c r="G94" i="10"/>
  <c r="C90" i="16" s="1"/>
  <c r="G327" i="10"/>
  <c r="C328" i="16" s="1"/>
  <c r="G116" i="10"/>
  <c r="C114" i="16" s="1"/>
  <c r="G180" i="10"/>
  <c r="C168" i="16" s="1"/>
  <c r="G311" i="10"/>
  <c r="C313" i="16" s="1"/>
  <c r="G140" i="10"/>
  <c r="C137" i="16" s="1"/>
  <c r="G156" i="10"/>
  <c r="C164" i="16" s="1"/>
  <c r="G172" i="10"/>
  <c r="C166" i="16" s="1"/>
  <c r="G331" i="10"/>
  <c r="C325" i="16" s="1"/>
  <c r="G267" i="10"/>
  <c r="C280" i="16" s="1"/>
  <c r="G182" i="10"/>
  <c r="C173" i="16" s="1"/>
  <c r="G198" i="10"/>
  <c r="C218" i="16" s="1"/>
  <c r="G214" i="10"/>
  <c r="C225" i="16" s="1"/>
  <c r="G230" i="10"/>
  <c r="C250" i="16" s="1"/>
  <c r="G247" i="10"/>
  <c r="C264" i="16" s="1"/>
  <c r="G185" i="10"/>
  <c r="C184" i="16" s="1"/>
  <c r="G201" i="10"/>
  <c r="C219" i="16" s="1"/>
  <c r="G217" i="10"/>
  <c r="C215" i="16" s="1"/>
  <c r="G233" i="10"/>
  <c r="C247" i="16" s="1"/>
  <c r="G281" i="10"/>
  <c r="C272" i="16" s="1"/>
  <c r="G297" i="10"/>
  <c r="C297" i="16" s="1"/>
  <c r="G262" i="10"/>
  <c r="C275" i="16" s="1"/>
  <c r="G278" i="10"/>
  <c r="C286" i="16" s="1"/>
  <c r="G290" i="10"/>
  <c r="C296" i="16" s="1"/>
  <c r="G256" i="10"/>
  <c r="C254" i="16" s="1"/>
  <c r="G272" i="10"/>
  <c r="C268" i="16" s="1"/>
  <c r="G291" i="10"/>
  <c r="C303" i="16" s="1"/>
  <c r="G280" i="10"/>
  <c r="C278" i="16" s="1"/>
  <c r="G296" i="10"/>
  <c r="C287" i="16" s="1"/>
  <c r="G314" i="10"/>
  <c r="C322" i="16" s="1"/>
  <c r="G330" i="10"/>
  <c r="C331" i="16" s="1"/>
  <c r="G346" i="10"/>
  <c r="C344" i="16" s="1"/>
  <c r="G305" i="10"/>
  <c r="C301" i="16" s="1"/>
  <c r="G321" i="10"/>
  <c r="C319" i="16" s="1"/>
  <c r="G337" i="10"/>
  <c r="C334" i="16" s="1"/>
  <c r="G100" i="10"/>
  <c r="C73" i="16" s="1"/>
  <c r="G92" i="10"/>
  <c r="C94" i="16" s="1"/>
  <c r="G76" i="10"/>
  <c r="C101" i="16" s="1"/>
  <c r="G60" i="10"/>
  <c r="C57" i="16" s="1"/>
  <c r="G44" i="10"/>
  <c r="C37" i="16" s="1"/>
  <c r="G28" i="10"/>
  <c r="C21" i="16" s="1"/>
  <c r="G12" i="10"/>
  <c r="C8" i="16" s="1"/>
  <c r="G89" i="10"/>
  <c r="C85" i="16" s="1"/>
  <c r="G21" i="10"/>
  <c r="C10" i="16" s="1"/>
  <c r="G29" i="10"/>
  <c r="C30" i="16" s="1"/>
  <c r="G49" i="10"/>
  <c r="C52" i="16" s="1"/>
  <c r="G37" i="10"/>
  <c r="C31" i="16" s="1"/>
  <c r="G13" i="10"/>
  <c r="C25" i="16" s="1"/>
  <c r="C58" i="16" l="1"/>
  <c r="A278" i="16" s="1"/>
  <c r="K74" i="16"/>
  <c r="K11" i="16"/>
  <c r="K8" i="16"/>
  <c r="K23" i="16"/>
  <c r="K22" i="16"/>
  <c r="K3" i="16"/>
  <c r="K4" i="16"/>
  <c r="K56" i="16"/>
  <c r="K65" i="16"/>
  <c r="K51" i="16"/>
  <c r="K42" i="16"/>
  <c r="K28" i="16"/>
  <c r="K18" i="16"/>
  <c r="K24" i="16"/>
  <c r="K50" i="16"/>
  <c r="K61" i="16"/>
  <c r="K10" i="16"/>
  <c r="K30" i="16"/>
  <c r="K78" i="16"/>
  <c r="K7" i="16"/>
  <c r="K9" i="16"/>
  <c r="K25" i="16"/>
  <c r="K5" i="16"/>
  <c r="K60" i="16"/>
  <c r="K2" i="16"/>
  <c r="K48" i="16"/>
  <c r="K32" i="16"/>
  <c r="K126" i="16"/>
  <c r="K87" i="16"/>
  <c r="K26" i="16"/>
  <c r="K91" i="16"/>
  <c r="K93" i="16"/>
  <c r="K44" i="16"/>
  <c r="K69" i="16"/>
  <c r="K16" i="16"/>
  <c r="K35" i="16"/>
  <c r="K68" i="16"/>
  <c r="K14" i="16"/>
  <c r="K29" i="16"/>
  <c r="K21" i="16"/>
  <c r="K53" i="16"/>
  <c r="K34" i="16"/>
  <c r="K36" i="16"/>
  <c r="K15" i="16"/>
  <c r="K55" i="16"/>
  <c r="K38" i="16"/>
  <c r="K112" i="16"/>
  <c r="K19" i="16"/>
  <c r="K84" i="16"/>
  <c r="K57" i="16"/>
  <c r="K17" i="16"/>
  <c r="K62" i="16"/>
  <c r="K12" i="16"/>
  <c r="K6" i="16"/>
  <c r="K90" i="16"/>
  <c r="K97" i="16"/>
  <c r="K20" i="16"/>
  <c r="A25" i="16"/>
  <c r="A37" i="16"/>
  <c r="A184" i="16"/>
  <c r="A168" i="16"/>
  <c r="A46" i="16"/>
  <c r="A102" i="16"/>
  <c r="A324" i="16"/>
  <c r="A191" i="16"/>
  <c r="A234" i="16"/>
  <c r="A151" i="16"/>
  <c r="A55" i="16"/>
  <c r="A257" i="16"/>
  <c r="A347" i="16"/>
  <c r="A208" i="16"/>
  <c r="A131" i="16"/>
  <c r="A49" i="16"/>
  <c r="A336" i="16"/>
  <c r="A298" i="16"/>
  <c r="A228" i="16"/>
  <c r="A159" i="16"/>
  <c r="A118" i="16"/>
  <c r="A196" i="16"/>
  <c r="A47" i="16"/>
  <c r="A335" i="16"/>
  <c r="A238" i="16"/>
  <c r="A68" i="16"/>
  <c r="A67" i="16"/>
  <c r="A334" i="16"/>
  <c r="A247" i="16"/>
  <c r="A164" i="16"/>
  <c r="A114" i="16"/>
  <c r="A24" i="16"/>
  <c r="A73" i="16"/>
  <c r="A296" i="16"/>
  <c r="A166" i="16"/>
  <c r="A9" i="16"/>
  <c r="A351" i="16"/>
  <c r="A311" i="16"/>
  <c r="A292" i="16"/>
  <c r="A217" i="16"/>
  <c r="A156" i="16"/>
  <c r="A50" i="16"/>
  <c r="A330" i="16"/>
  <c r="A154" i="16"/>
  <c r="A144" i="16"/>
  <c r="A177" i="16"/>
  <c r="A235" i="16"/>
  <c r="A83" i="16"/>
  <c r="A76" i="16"/>
  <c r="A242" i="16"/>
  <c r="A179" i="16"/>
  <c r="A120" i="16"/>
  <c r="A17" i="16"/>
  <c r="A277" i="16"/>
  <c r="A145" i="16"/>
  <c r="A125" i="16"/>
  <c r="A320" i="16"/>
  <c r="A170" i="16"/>
  <c r="A108" i="16"/>
  <c r="A5" i="16"/>
  <c r="A85" i="16"/>
  <c r="A331" i="16"/>
  <c r="A286" i="16"/>
  <c r="A173" i="16"/>
  <c r="A8" i="16"/>
  <c r="A319" i="16"/>
  <c r="A322" i="16"/>
  <c r="A344" i="16"/>
  <c r="A272" i="16"/>
  <c r="A218" i="16"/>
  <c r="A71" i="16"/>
  <c r="A15" i="16"/>
  <c r="A352" i="16"/>
  <c r="A261" i="16"/>
  <c r="A239" i="16"/>
  <c r="A110" i="16"/>
  <c r="A66" i="16"/>
  <c r="A341" i="16"/>
  <c r="A255" i="16"/>
  <c r="A201" i="16"/>
  <c r="A224" i="16"/>
  <c r="A163" i="16"/>
  <c r="A43" i="16"/>
  <c r="A20" i="16"/>
  <c r="A248" i="16"/>
  <c r="A321" i="16"/>
  <c r="A282" i="16"/>
  <c r="A140" i="16"/>
  <c r="A209" i="16"/>
  <c r="A139" i="16"/>
  <c r="A274" i="16"/>
  <c r="A155" i="16"/>
  <c r="A87" i="16"/>
  <c r="A97" i="16"/>
  <c r="A333" i="16"/>
  <c r="A171" i="16"/>
  <c r="A2" i="16"/>
  <c r="A60" i="16"/>
  <c r="A31" i="16"/>
  <c r="A57" i="16"/>
  <c r="A303" i="16"/>
  <c r="A264" i="16"/>
  <c r="A52" i="16"/>
  <c r="A101" i="16"/>
  <c r="A30" i="16"/>
  <c r="A21" i="16"/>
  <c r="A88" i="16"/>
  <c r="A69" i="16"/>
  <c r="A98" i="16"/>
  <c r="A42" i="16"/>
  <c r="A91" i="16"/>
  <c r="A309" i="16"/>
  <c r="A284" i="16"/>
  <c r="A338" i="16"/>
  <c r="A267" i="16"/>
  <c r="A294" i="16"/>
  <c r="A183" i="16"/>
  <c r="A192" i="16"/>
  <c r="A149" i="16"/>
  <c r="A204" i="16"/>
  <c r="A136" i="16"/>
  <c r="A109" i="16"/>
  <c r="A143" i="16"/>
  <c r="A26" i="16"/>
  <c r="A99" i="16"/>
  <c r="A75" i="16"/>
  <c r="A326" i="16"/>
  <c r="A327" i="16"/>
  <c r="A241" i="16"/>
  <c r="A203" i="16"/>
  <c r="A232" i="16"/>
  <c r="A270" i="16"/>
  <c r="A318" i="16"/>
  <c r="A276" i="16"/>
  <c r="A216" i="16"/>
  <c r="A182" i="16"/>
  <c r="A122" i="16"/>
  <c r="A126" i="16"/>
  <c r="A111" i="16"/>
  <c r="A58" i="16"/>
  <c r="A223" i="16"/>
  <c r="A4" i="16"/>
  <c r="A29" i="16"/>
  <c r="A80" i="16"/>
  <c r="A221" i="16"/>
  <c r="A6" i="16"/>
  <c r="A310" i="16"/>
  <c r="A299" i="16"/>
  <c r="A229" i="16"/>
  <c r="A116" i="16"/>
  <c r="A249" i="16"/>
  <c r="A175" i="16"/>
  <c r="A283" i="16"/>
  <c r="A233" i="16"/>
  <c r="A186" i="16"/>
  <c r="A147" i="16"/>
  <c r="A138" i="16"/>
  <c r="A127" i="16"/>
  <c r="A23" i="16"/>
  <c r="A346" i="16"/>
  <c r="A259" i="16"/>
  <c r="A212" i="16"/>
  <c r="A181" i="16"/>
  <c r="A142" i="16"/>
  <c r="A117" i="16"/>
  <c r="A7" i="16"/>
  <c r="A59" i="16"/>
  <c r="A18" i="16"/>
  <c r="A53" i="16"/>
  <c r="A308" i="16"/>
  <c r="A289" i="16"/>
  <c r="A305" i="16"/>
  <c r="A213" i="16"/>
  <c r="A152" i="16"/>
  <c r="A158" i="16"/>
  <c r="A79" i="16"/>
  <c r="A65" i="16"/>
  <c r="A19" i="16"/>
  <c r="A38" i="16"/>
  <c r="A13" i="16"/>
  <c r="A89" i="16"/>
  <c r="A268" i="16"/>
  <c r="A275" i="16"/>
  <c r="A215" i="16"/>
  <c r="A250" i="16"/>
  <c r="A280" i="16"/>
  <c r="A137" i="16"/>
  <c r="A328" i="16"/>
  <c r="A36" i="16"/>
  <c r="A78" i="16"/>
  <c r="A3" i="16"/>
  <c r="A70" i="16"/>
  <c r="A39" i="16"/>
  <c r="A112" i="16"/>
  <c r="A349" i="16"/>
  <c r="A291" i="16"/>
  <c r="A304" i="16"/>
  <c r="A230" i="16"/>
  <c r="A246" i="16"/>
  <c r="A210" i="16"/>
  <c r="A288" i="16"/>
  <c r="A121" i="16"/>
  <c r="A194" i="16"/>
  <c r="A161" i="16"/>
  <c r="A119" i="16"/>
  <c r="A14" i="16"/>
  <c r="A63" i="16"/>
  <c r="A22" i="16"/>
  <c r="A74" i="16"/>
  <c r="A316" i="16"/>
  <c r="A293" i="16"/>
  <c r="A290" i="16"/>
  <c r="A207" i="16"/>
  <c r="A237" i="16"/>
  <c r="A256" i="16"/>
  <c r="A141" i="16"/>
  <c r="A263" i="16"/>
  <c r="A231" i="16"/>
  <c r="A180" i="16"/>
  <c r="A174" i="16"/>
  <c r="A93" i="16"/>
  <c r="A28" i="16"/>
  <c r="A103" i="16"/>
  <c r="A130" i="16"/>
  <c r="A44" i="16"/>
  <c r="A33" i="16"/>
  <c r="A285" i="16"/>
  <c r="A167" i="16"/>
  <c r="A107" i="16"/>
  <c r="A340" i="16"/>
  <c r="A251" i="16"/>
  <c r="A195" i="16"/>
  <c r="A302" i="16"/>
  <c r="A227" i="16"/>
  <c r="A188" i="16"/>
  <c r="A253" i="16"/>
  <c r="A202" i="16"/>
  <c r="A169" i="16"/>
  <c r="A172" i="16"/>
  <c r="A134" i="16"/>
  <c r="A132" i="16"/>
  <c r="A64" i="16"/>
  <c r="A323" i="16"/>
  <c r="A314" i="16"/>
  <c r="A206" i="16"/>
  <c r="A190" i="16"/>
  <c r="A148" i="16"/>
  <c r="A176" i="16"/>
  <c r="A12" i="16"/>
  <c r="A95" i="16"/>
  <c r="A82" i="16"/>
  <c r="A348" i="16"/>
  <c r="A317" i="16"/>
  <c r="A312" i="16"/>
  <c r="A258" i="16"/>
  <c r="A185" i="16"/>
  <c r="A133" i="16"/>
  <c r="A124" i="16"/>
  <c r="A34" i="16"/>
  <c r="A86" i="16"/>
  <c r="A45" i="16"/>
  <c r="A40" i="16"/>
  <c r="A35" i="16"/>
  <c r="A281" i="16"/>
  <c r="A94" i="16"/>
  <c r="A301" i="16"/>
  <c r="A287" i="16"/>
  <c r="A254" i="16"/>
  <c r="A297" i="16"/>
  <c r="A219" i="16"/>
  <c r="A225" i="16"/>
  <c r="A325" i="16"/>
  <c r="A313" i="16"/>
  <c r="A90" i="16"/>
  <c r="A77" i="16"/>
  <c r="A150" i="16"/>
  <c r="A16" i="16"/>
  <c r="A100" i="16"/>
  <c r="A81" i="16"/>
  <c r="A337" i="16"/>
  <c r="A343" i="16"/>
  <c r="A269" i="16"/>
  <c r="A300" i="16"/>
  <c r="A295" i="16"/>
  <c r="A222" i="16"/>
  <c r="A214" i="16"/>
  <c r="A266" i="16"/>
  <c r="A236" i="16"/>
  <c r="A178" i="16"/>
  <c r="A128" i="16"/>
  <c r="A96" i="16"/>
  <c r="A72" i="16"/>
  <c r="A11" i="16"/>
  <c r="A41" i="16"/>
  <c r="A129" i="16"/>
  <c r="A329" i="16"/>
  <c r="A307" i="16"/>
  <c r="A260" i="16"/>
  <c r="A199" i="16"/>
  <c r="A197" i="16"/>
  <c r="A252" i="16"/>
  <c r="A157" i="16"/>
  <c r="A245" i="16"/>
  <c r="A211" i="16"/>
  <c r="A193" i="16"/>
  <c r="A162" i="16"/>
  <c r="A135" i="16"/>
  <c r="A32" i="16"/>
  <c r="A279" i="16"/>
  <c r="A104" i="16"/>
  <c r="A61" i="16"/>
  <c r="A48" i="16"/>
  <c r="A265" i="16"/>
  <c r="A187" i="16"/>
  <c r="A350" i="16"/>
  <c r="A332" i="16"/>
  <c r="A243" i="16"/>
  <c r="A200" i="16"/>
  <c r="A262" i="16"/>
  <c r="A220" i="16"/>
  <c r="A146" i="16"/>
  <c r="A244" i="16"/>
  <c r="A205" i="16"/>
  <c r="A153" i="16"/>
  <c r="A165" i="16"/>
  <c r="A339" i="16"/>
  <c r="A106" i="16"/>
  <c r="A62" i="16"/>
  <c r="A315" i="16"/>
  <c r="A271" i="16"/>
  <c r="A198" i="16"/>
  <c r="A189" i="16"/>
  <c r="A123" i="16"/>
  <c r="A113" i="16"/>
  <c r="A27" i="16"/>
  <c r="A105" i="16"/>
  <c r="A84" i="16"/>
  <c r="A342" i="16"/>
  <c r="A273" i="16"/>
  <c r="A226" i="16"/>
  <c r="A240" i="16"/>
  <c r="A160" i="16"/>
  <c r="A345" i="16"/>
  <c r="A115" i="16"/>
  <c r="A54" i="16"/>
  <c r="A306" i="16"/>
  <c r="A92" i="16"/>
  <c r="A56" i="16"/>
  <c r="A51" i="16"/>
  <c r="H49" i="10"/>
  <c r="H37" i="10"/>
  <c r="H76" i="10"/>
  <c r="H321" i="10"/>
  <c r="H314" i="10"/>
  <c r="H272" i="10"/>
  <c r="H262" i="10"/>
  <c r="H217" i="10"/>
  <c r="H230" i="10"/>
  <c r="H267" i="10"/>
  <c r="H140" i="10"/>
  <c r="H327" i="10"/>
  <c r="H39" i="10"/>
  <c r="H95" i="10"/>
  <c r="L15" i="14"/>
  <c r="Q66" i="1" s="1"/>
  <c r="H5" i="10"/>
  <c r="H73" i="10"/>
  <c r="H48" i="10"/>
  <c r="H123" i="10"/>
  <c r="H350" i="10"/>
  <c r="H300" i="10"/>
  <c r="H320" i="10"/>
  <c r="H260" i="10"/>
  <c r="H237" i="10"/>
  <c r="H234" i="10"/>
  <c r="H279" i="10"/>
  <c r="H144" i="10"/>
  <c r="H192" i="10"/>
  <c r="H131" i="10"/>
  <c r="H109" i="10"/>
  <c r="H9" i="10"/>
  <c r="H61" i="10"/>
  <c r="H20" i="10"/>
  <c r="H84" i="10"/>
  <c r="H313" i="10"/>
  <c r="H288" i="10"/>
  <c r="H287" i="10"/>
  <c r="H209" i="10"/>
  <c r="H222" i="10"/>
  <c r="H259" i="10"/>
  <c r="H164" i="10"/>
  <c r="H257" i="10"/>
  <c r="H223" i="10"/>
  <c r="H191" i="10"/>
  <c r="H170" i="10"/>
  <c r="H138" i="10"/>
  <c r="H15" i="10"/>
  <c r="H79" i="10"/>
  <c r="H152" i="10"/>
  <c r="H45" i="10"/>
  <c r="H40" i="10"/>
  <c r="H286" i="10"/>
  <c r="H181" i="10"/>
  <c r="H107" i="10"/>
  <c r="H342" i="10"/>
  <c r="H252" i="10"/>
  <c r="H210" i="10"/>
  <c r="H289" i="10"/>
  <c r="H244" i="10"/>
  <c r="H167" i="10"/>
  <c r="H243" i="10"/>
  <c r="H211" i="10"/>
  <c r="H169" i="10"/>
  <c r="H166" i="10"/>
  <c r="H134" i="10"/>
  <c r="H126" i="10"/>
  <c r="H42" i="10"/>
  <c r="H328" i="10"/>
  <c r="H323" i="10"/>
  <c r="H216" i="10"/>
  <c r="H171" i="10"/>
  <c r="H139" i="10"/>
  <c r="H178" i="10"/>
  <c r="H18" i="10"/>
  <c r="H82" i="10"/>
  <c r="H83" i="10"/>
  <c r="H348" i="10"/>
  <c r="H316" i="10"/>
  <c r="H301" i="10"/>
  <c r="H269" i="10"/>
  <c r="H188" i="10"/>
  <c r="H133" i="10"/>
  <c r="H143" i="10"/>
  <c r="H35" i="10"/>
  <c r="H70" i="10"/>
  <c r="H38" i="10"/>
  <c r="H43" i="10"/>
  <c r="H30" i="10"/>
  <c r="H319" i="10"/>
  <c r="H12" i="10"/>
  <c r="H29" i="10"/>
  <c r="H28" i="10"/>
  <c r="H92" i="10"/>
  <c r="H305" i="10"/>
  <c r="H296" i="10"/>
  <c r="H256" i="10"/>
  <c r="H297" i="10"/>
  <c r="H201" i="10"/>
  <c r="H214" i="10"/>
  <c r="H331" i="10"/>
  <c r="H311" i="10"/>
  <c r="H94" i="10"/>
  <c r="H55" i="10"/>
  <c r="H136" i="10"/>
  <c r="H33" i="10"/>
  <c r="H91" i="10"/>
  <c r="H64" i="10"/>
  <c r="H341" i="10"/>
  <c r="H334" i="10"/>
  <c r="H284" i="10"/>
  <c r="H304" i="10"/>
  <c r="H295" i="10"/>
  <c r="H221" i="10"/>
  <c r="H218" i="10"/>
  <c r="H263" i="10"/>
  <c r="H240" i="10"/>
  <c r="H173" i="10"/>
  <c r="H120" i="10"/>
  <c r="H98" i="10"/>
  <c r="H85" i="10"/>
  <c r="H17" i="10"/>
  <c r="H36" i="10"/>
  <c r="H115" i="10"/>
  <c r="H338" i="10"/>
  <c r="H294" i="10"/>
  <c r="H270" i="10"/>
  <c r="H193" i="10"/>
  <c r="H206" i="10"/>
  <c r="H249" i="10"/>
  <c r="H148" i="10"/>
  <c r="H246" i="10"/>
  <c r="H215" i="10"/>
  <c r="H183" i="10"/>
  <c r="H162" i="10"/>
  <c r="H130" i="10"/>
  <c r="H31" i="10"/>
  <c r="H268" i="10"/>
  <c r="H101" i="10"/>
  <c r="H41" i="10"/>
  <c r="H56" i="10"/>
  <c r="H274" i="10"/>
  <c r="H168" i="10"/>
  <c r="H349" i="10"/>
  <c r="H326" i="10"/>
  <c r="H255" i="10"/>
  <c r="H194" i="10"/>
  <c r="H250" i="10"/>
  <c r="H228" i="10"/>
  <c r="H151" i="10"/>
  <c r="H235" i="10"/>
  <c r="H203" i="10"/>
  <c r="H153" i="10"/>
  <c r="H158" i="10"/>
  <c r="H335" i="10"/>
  <c r="H110" i="10"/>
  <c r="H74" i="10"/>
  <c r="H312" i="10"/>
  <c r="H277" i="10"/>
  <c r="H200" i="10"/>
  <c r="H163" i="10"/>
  <c r="H114" i="10"/>
  <c r="H118" i="10"/>
  <c r="H34" i="10"/>
  <c r="H96" i="10"/>
  <c r="H86" i="10"/>
  <c r="H340" i="10"/>
  <c r="H308" i="10"/>
  <c r="H253" i="10"/>
  <c r="H236" i="10"/>
  <c r="H176" i="10"/>
  <c r="H343" i="10"/>
  <c r="H122" i="10"/>
  <c r="H51" i="10"/>
  <c r="H303" i="10"/>
  <c r="H93" i="10"/>
  <c r="H59" i="10"/>
  <c r="H46" i="10"/>
  <c r="H13" i="10"/>
  <c r="H21" i="10"/>
  <c r="H44" i="10"/>
  <c r="H100" i="10"/>
  <c r="H346" i="10"/>
  <c r="H280" i="10"/>
  <c r="H290" i="10"/>
  <c r="H281" i="10"/>
  <c r="H185" i="10"/>
  <c r="H198" i="10"/>
  <c r="H172" i="10"/>
  <c r="H180" i="10"/>
  <c r="H7" i="10"/>
  <c r="H71" i="10"/>
  <c r="H53" i="10"/>
  <c r="H351" i="10"/>
  <c r="H16" i="10"/>
  <c r="H80" i="10"/>
  <c r="H325" i="10"/>
  <c r="H318" i="10"/>
  <c r="H352" i="10"/>
  <c r="H283" i="10"/>
  <c r="H282" i="10"/>
  <c r="H205" i="10"/>
  <c r="H202" i="10"/>
  <c r="H254" i="10"/>
  <c r="H224" i="10"/>
  <c r="H157" i="10"/>
  <c r="H104" i="10"/>
  <c r="H127" i="10"/>
  <c r="H81" i="10"/>
  <c r="H57" i="10"/>
  <c r="H52" i="10"/>
  <c r="H345" i="10"/>
  <c r="H322" i="10"/>
  <c r="H264" i="10"/>
  <c r="H241" i="10"/>
  <c r="H177" i="10"/>
  <c r="H190" i="10"/>
  <c r="H347" i="10"/>
  <c r="H132" i="10"/>
  <c r="H239" i="10"/>
  <c r="H207" i="10"/>
  <c r="H161" i="10"/>
  <c r="H154" i="10"/>
  <c r="H124" i="10"/>
  <c r="H47" i="10"/>
  <c r="H229" i="10"/>
  <c r="H65" i="10"/>
  <c r="H8" i="10"/>
  <c r="H72" i="10"/>
  <c r="H245" i="10"/>
  <c r="H112" i="10"/>
  <c r="H333" i="10"/>
  <c r="H310" i="10"/>
  <c r="H242" i="10"/>
  <c r="H271" i="10"/>
  <c r="H285" i="10"/>
  <c r="H212" i="10"/>
  <c r="H135" i="10"/>
  <c r="H227" i="10"/>
  <c r="H195" i="10"/>
  <c r="H137" i="10"/>
  <c r="H150" i="10"/>
  <c r="H121" i="10"/>
  <c r="H10" i="10"/>
  <c r="H103" i="10"/>
  <c r="H266" i="10"/>
  <c r="H261" i="10"/>
  <c r="H184" i="10"/>
  <c r="H155" i="10"/>
  <c r="H145" i="10"/>
  <c r="H102" i="10"/>
  <c r="H50" i="10"/>
  <c r="H119" i="10"/>
  <c r="H111" i="10"/>
  <c r="H332" i="10"/>
  <c r="H299" i="10"/>
  <c r="H339" i="10"/>
  <c r="H220" i="10"/>
  <c r="H165" i="10"/>
  <c r="H175" i="10"/>
  <c r="H106" i="10"/>
  <c r="H67" i="10"/>
  <c r="H6" i="10"/>
  <c r="H11" i="10"/>
  <c r="H75" i="10"/>
  <c r="H62" i="10"/>
  <c r="H89" i="10"/>
  <c r="H60" i="10"/>
  <c r="H337" i="10"/>
  <c r="H330" i="10"/>
  <c r="H291" i="10"/>
  <c r="H278" i="10"/>
  <c r="H233" i="10"/>
  <c r="H247" i="10"/>
  <c r="H182" i="10"/>
  <c r="H156" i="10"/>
  <c r="H116" i="10"/>
  <c r="H9" i="14"/>
  <c r="H10" i="14" s="1"/>
  <c r="B53" i="1" s="1"/>
  <c r="H23" i="10"/>
  <c r="H87" i="10"/>
  <c r="H69" i="10"/>
  <c r="H77" i="10"/>
  <c r="H32" i="10"/>
  <c r="H97" i="10"/>
  <c r="H309" i="10"/>
  <c r="H302" i="10"/>
  <c r="H336" i="10"/>
  <c r="H276" i="10"/>
  <c r="H293" i="10"/>
  <c r="H189" i="10"/>
  <c r="H186" i="10"/>
  <c r="H160" i="10"/>
  <c r="H208" i="10"/>
  <c r="H141" i="10"/>
  <c r="H125" i="10"/>
  <c r="H128" i="10"/>
  <c r="H25" i="10"/>
  <c r="H99" i="10"/>
  <c r="H68" i="10"/>
  <c r="H329" i="10"/>
  <c r="H306" i="10"/>
  <c r="H248" i="10"/>
  <c r="H225" i="10"/>
  <c r="H238" i="10"/>
  <c r="H275" i="10"/>
  <c r="H315" i="10"/>
  <c r="H273" i="10"/>
  <c r="H231" i="10"/>
  <c r="H199" i="10"/>
  <c r="H129" i="10"/>
  <c r="H146" i="10"/>
  <c r="H108" i="10"/>
  <c r="H63" i="10"/>
  <c r="H197" i="10"/>
  <c r="H4" i="10"/>
  <c r="H24" i="10"/>
  <c r="H88" i="10"/>
  <c r="H213" i="10"/>
  <c r="H3" i="10"/>
  <c r="H317" i="10"/>
  <c r="H292" i="10"/>
  <c r="H226" i="10"/>
  <c r="H117" i="10"/>
  <c r="H251" i="10"/>
  <c r="H196" i="10"/>
  <c r="H265" i="10"/>
  <c r="H219" i="10"/>
  <c r="H187" i="10"/>
  <c r="H174" i="10"/>
  <c r="H142" i="10"/>
  <c r="H105" i="10"/>
  <c r="H26" i="10"/>
  <c r="H344" i="10"/>
  <c r="H258" i="10"/>
  <c r="H232" i="10"/>
  <c r="H179" i="10"/>
  <c r="H147" i="10"/>
  <c r="H113" i="10"/>
  <c r="H66" i="10"/>
  <c r="H19" i="10"/>
  <c r="H58" i="10"/>
  <c r="H324" i="10"/>
  <c r="H298" i="10"/>
  <c r="H307" i="10"/>
  <c r="H204" i="10"/>
  <c r="H149" i="10"/>
  <c r="H159" i="10"/>
  <c r="H90" i="10"/>
  <c r="H54" i="10"/>
  <c r="H22" i="10"/>
  <c r="H27" i="10"/>
  <c r="H14" i="10"/>
  <c r="H78" i="10"/>
  <c r="H2" i="10"/>
  <c r="X3" i="14"/>
  <c r="H60" i="1" s="1"/>
  <c r="E87" i="1"/>
  <c r="R4" i="14" s="1"/>
  <c r="N5" i="14"/>
  <c r="N87" i="1"/>
  <c r="R6" i="14" s="1"/>
  <c r="D55" i="14"/>
  <c r="D56" i="14" s="1"/>
  <c r="S76" i="1" s="1"/>
  <c r="D63" i="14"/>
  <c r="D64" i="14" s="1"/>
  <c r="S104" i="1" s="1"/>
  <c r="T5" i="14"/>
  <c r="N32" i="1" s="1"/>
  <c r="L13" i="14"/>
  <c r="Q38" i="1" s="1"/>
  <c r="L5" i="14"/>
  <c r="C38" i="1" s="1"/>
  <c r="T3" i="14"/>
  <c r="P9" i="14"/>
  <c r="P7" i="14"/>
  <c r="P5" i="14"/>
  <c r="P3" i="14"/>
  <c r="L17" i="14"/>
  <c r="L9" i="14"/>
  <c r="L11" i="14"/>
  <c r="L3" i="14"/>
  <c r="H11" i="14"/>
  <c r="H12" i="14" s="1"/>
  <c r="B67" i="1" s="1"/>
  <c r="L7" i="14"/>
  <c r="H19" i="14"/>
  <c r="H20" i="14" s="1"/>
  <c r="R11" i="1" s="1"/>
  <c r="D71" i="14"/>
  <c r="H23" i="14"/>
  <c r="D19" i="14"/>
  <c r="D31" i="14"/>
  <c r="H29" i="14"/>
  <c r="D51" i="14"/>
  <c r="D37" i="14"/>
  <c r="H5" i="14"/>
  <c r="D35" i="14"/>
  <c r="D36" i="14" s="1"/>
  <c r="S6" i="1" s="1"/>
  <c r="D41" i="14"/>
  <c r="S26" i="1" s="1"/>
  <c r="H21" i="14"/>
  <c r="H17" i="14"/>
  <c r="H25" i="14"/>
  <c r="D53" i="14"/>
  <c r="S68" i="1" s="1"/>
  <c r="H27" i="14"/>
  <c r="D61" i="14"/>
  <c r="S96" i="1" s="1"/>
  <c r="H31" i="14"/>
  <c r="D65" i="14"/>
  <c r="H33" i="14"/>
  <c r="D39" i="14"/>
  <c r="D73" i="14"/>
  <c r="H15" i="14"/>
  <c r="H13" i="14"/>
  <c r="D11" i="14"/>
  <c r="D12" i="14" s="1"/>
  <c r="A34" i="1" s="1"/>
  <c r="H7" i="14"/>
  <c r="D43" i="14"/>
  <c r="D5" i="14"/>
  <c r="D59" i="14"/>
  <c r="D29" i="14"/>
  <c r="H3" i="14"/>
  <c r="D3" i="14"/>
  <c r="A5" i="1" s="1"/>
  <c r="D17" i="14"/>
  <c r="D25" i="14"/>
  <c r="D23" i="14"/>
  <c r="D33" i="14"/>
  <c r="D45" i="14"/>
  <c r="D7" i="14"/>
  <c r="D57" i="14"/>
  <c r="D27" i="14"/>
  <c r="A89" i="1" s="1"/>
  <c r="D15" i="14"/>
  <c r="D67" i="14"/>
  <c r="D47" i="14"/>
  <c r="D21" i="14"/>
  <c r="D13" i="14"/>
  <c r="D69" i="14"/>
  <c r="D49" i="14"/>
  <c r="D9" i="14"/>
  <c r="N31" i="1"/>
  <c r="N7" i="14"/>
  <c r="E31" i="1"/>
  <c r="N3" i="14"/>
  <c r="A10" i="16" l="1"/>
  <c r="L16" i="14"/>
  <c r="Q77" i="1" s="1"/>
  <c r="B49" i="1"/>
  <c r="X4" i="14"/>
  <c r="L60" i="1" s="1"/>
  <c r="S75" i="1"/>
  <c r="L14" i="14"/>
  <c r="Q49" i="1" s="1"/>
  <c r="S103" i="1"/>
  <c r="T6" i="14"/>
  <c r="N85" i="1" s="1"/>
  <c r="D62" i="14"/>
  <c r="S97" i="1" s="1"/>
  <c r="L6" i="14"/>
  <c r="C49" i="1" s="1"/>
  <c r="T4" i="14"/>
  <c r="F85" i="1" s="1"/>
  <c r="F32" i="1"/>
  <c r="P10" i="14"/>
  <c r="P98" i="1" s="1"/>
  <c r="P73" i="1"/>
  <c r="P8" i="14"/>
  <c r="P42" i="1" s="1"/>
  <c r="P17" i="1"/>
  <c r="P6" i="14"/>
  <c r="D98" i="1" s="1"/>
  <c r="D73" i="1"/>
  <c r="P4" i="14"/>
  <c r="D42" i="1" s="1"/>
  <c r="D17" i="1"/>
  <c r="L18" i="14"/>
  <c r="Q105" i="1" s="1"/>
  <c r="Q94" i="1"/>
  <c r="L12" i="14"/>
  <c r="Q21" i="1" s="1"/>
  <c r="Q10" i="1"/>
  <c r="L10" i="14"/>
  <c r="C105" i="1" s="1"/>
  <c r="C94" i="1"/>
  <c r="L8" i="14"/>
  <c r="C77" i="1" s="1"/>
  <c r="C66" i="1"/>
  <c r="L4" i="14"/>
  <c r="C21" i="1" s="1"/>
  <c r="C10" i="1"/>
  <c r="B63" i="1"/>
  <c r="S5" i="1"/>
  <c r="H34" i="14"/>
  <c r="R109" i="1" s="1"/>
  <c r="R105" i="1"/>
  <c r="H32" i="14"/>
  <c r="R95" i="1" s="1"/>
  <c r="R91" i="1"/>
  <c r="H30" i="14"/>
  <c r="R81" i="1" s="1"/>
  <c r="R77" i="1"/>
  <c r="R7" i="1"/>
  <c r="H28" i="14"/>
  <c r="R67" i="1" s="1"/>
  <c r="R63" i="1"/>
  <c r="H26" i="14"/>
  <c r="R53" i="1" s="1"/>
  <c r="R49" i="1"/>
  <c r="H24" i="14"/>
  <c r="R39" i="1" s="1"/>
  <c r="R35" i="1"/>
  <c r="H22" i="14"/>
  <c r="R25" i="1" s="1"/>
  <c r="R21" i="1"/>
  <c r="D42" i="14"/>
  <c r="S27" i="1" s="1"/>
  <c r="H18" i="14"/>
  <c r="B109" i="1" s="1"/>
  <c r="B105" i="1"/>
  <c r="H16" i="14"/>
  <c r="B95" i="1" s="1"/>
  <c r="B91" i="1"/>
  <c r="H14" i="14"/>
  <c r="B81" i="1" s="1"/>
  <c r="B77" i="1"/>
  <c r="H8" i="14"/>
  <c r="B39" i="1" s="1"/>
  <c r="B35" i="1"/>
  <c r="D54" i="14"/>
  <c r="S69" i="1" s="1"/>
  <c r="H6" i="14"/>
  <c r="B25" i="1" s="1"/>
  <c r="B21" i="1"/>
  <c r="H4" i="14"/>
  <c r="B11" i="1" s="1"/>
  <c r="B7" i="1"/>
  <c r="D28" i="14"/>
  <c r="A90" i="1" s="1"/>
  <c r="A33" i="1"/>
  <c r="D4" i="14"/>
  <c r="A6" i="1" s="1"/>
  <c r="M59" i="1"/>
  <c r="V4" i="14" s="1"/>
  <c r="R5" i="14"/>
  <c r="H59" i="1"/>
  <c r="V3" i="14" s="1"/>
  <c r="R3" i="14"/>
  <c r="D74" i="14"/>
  <c r="N6" i="1" s="1"/>
  <c r="N5" i="1"/>
  <c r="D72" i="14"/>
  <c r="K6" i="1" s="1"/>
  <c r="K5" i="1"/>
  <c r="D70" i="14"/>
  <c r="H6" i="1" s="1"/>
  <c r="H5" i="1"/>
  <c r="D68" i="14"/>
  <c r="E6" i="1" s="1"/>
  <c r="E5" i="1"/>
  <c r="D66" i="14"/>
  <c r="S111" i="1" s="1"/>
  <c r="S110" i="1"/>
  <c r="D60" i="14"/>
  <c r="S90" i="1" s="1"/>
  <c r="S89" i="1"/>
  <c r="D58" i="14"/>
  <c r="S83" i="1" s="1"/>
  <c r="S82" i="1"/>
  <c r="D52" i="14"/>
  <c r="S62" i="1" s="1"/>
  <c r="S61" i="1"/>
  <c r="D50" i="14"/>
  <c r="S55" i="1" s="1"/>
  <c r="S54" i="1"/>
  <c r="D48" i="14"/>
  <c r="S48" i="1" s="1"/>
  <c r="S47" i="1"/>
  <c r="D46" i="14"/>
  <c r="S41" i="1" s="1"/>
  <c r="S40" i="1"/>
  <c r="D44" i="14"/>
  <c r="S34" i="1" s="1"/>
  <c r="S33" i="1"/>
  <c r="D40" i="14"/>
  <c r="S20" i="1" s="1"/>
  <c r="S19" i="1"/>
  <c r="D38" i="14"/>
  <c r="S13" i="1" s="1"/>
  <c r="S12" i="1"/>
  <c r="D34" i="14"/>
  <c r="A111" i="1" s="1"/>
  <c r="A110" i="1"/>
  <c r="D32" i="14"/>
  <c r="A104" i="1" s="1"/>
  <c r="A103" i="1"/>
  <c r="D30" i="14"/>
  <c r="A97" i="1" s="1"/>
  <c r="A96" i="1"/>
  <c r="D26" i="14"/>
  <c r="A83" i="1" s="1"/>
  <c r="A82" i="1"/>
  <c r="D24" i="14"/>
  <c r="A76" i="1" s="1"/>
  <c r="A75" i="1"/>
  <c r="D22" i="14"/>
  <c r="A69" i="1" s="1"/>
  <c r="A68" i="1"/>
  <c r="D20" i="14"/>
  <c r="A62" i="1" s="1"/>
  <c r="A61" i="1"/>
  <c r="D18" i="14"/>
  <c r="A55" i="1" s="1"/>
  <c r="A54" i="1"/>
  <c r="D16" i="14"/>
  <c r="A48" i="1" s="1"/>
  <c r="A47" i="1"/>
  <c r="D14" i="14"/>
  <c r="A41" i="1" s="1"/>
  <c r="A40" i="1"/>
  <c r="D10" i="14"/>
  <c r="A27" i="1" s="1"/>
  <c r="A26" i="1"/>
  <c r="D8" i="14"/>
  <c r="A20" i="1" s="1"/>
  <c r="A19" i="1"/>
  <c r="D6" i="14"/>
  <c r="A13" i="1" s="1"/>
  <c r="A12" i="1"/>
</calcChain>
</file>

<file path=xl/connections.xml><?xml version="1.0" encoding="utf-8"?>
<connections xmlns="http://schemas.openxmlformats.org/spreadsheetml/2006/main">
  <connection id="1" name="team_data" type="6" refreshedVersion="5" background="1" refreshOnLoad="1" saveData="1">
    <textPr codePage="437" sourceFile="C:\Devtree\BracketPickerProject\team_data.csv" tab="0" comma="1">
      <textFields count="7">
        <textField/>
        <textField/>
        <textField/>
        <textField/>
        <textField/>
        <textField/>
        <textField/>
      </textFields>
    </textPr>
  </connection>
</connections>
</file>

<file path=xl/sharedStrings.xml><?xml version="1.0" encoding="utf-8"?>
<sst xmlns="http://schemas.openxmlformats.org/spreadsheetml/2006/main" count="553" uniqueCount="399">
  <si>
    <t>Florida</t>
  </si>
  <si>
    <t>Arizona</t>
  </si>
  <si>
    <t>Albany</t>
  </si>
  <si>
    <t>Colorado</t>
  </si>
  <si>
    <t>Gonzaga</t>
  </si>
  <si>
    <t>VCU</t>
  </si>
  <si>
    <t>Oklahoma</t>
  </si>
  <si>
    <t>SF Austin</t>
  </si>
  <si>
    <t>UCLA</t>
  </si>
  <si>
    <t>Tulsa</t>
  </si>
  <si>
    <t>South</t>
  </si>
  <si>
    <t>Wisconsin</t>
  </si>
  <si>
    <t>West</t>
  </si>
  <si>
    <t>Baylor</t>
  </si>
  <si>
    <t>Dayton</t>
  </si>
  <si>
    <t>Nebraska</t>
  </si>
  <si>
    <t>Syracuse</t>
  </si>
  <si>
    <t>Creighton</t>
  </si>
  <si>
    <t>New Mexico</t>
  </si>
  <si>
    <t>Oregon</t>
  </si>
  <si>
    <t>Stanford</t>
  </si>
  <si>
    <t>BYU</t>
  </si>
  <si>
    <t>Kansas</t>
  </si>
  <si>
    <t>American</t>
  </si>
  <si>
    <t>UConn</t>
  </si>
  <si>
    <t>Kentucky</t>
  </si>
  <si>
    <t>Virginia</t>
  </si>
  <si>
    <t>Coastal Carolina</t>
  </si>
  <si>
    <t>Cal Poly</t>
  </si>
  <si>
    <t>Memphis</t>
  </si>
  <si>
    <t>Harvard</t>
  </si>
  <si>
    <t>NC State</t>
  </si>
  <si>
    <t>Louisville</t>
  </si>
  <si>
    <t>Delaware</t>
  </si>
  <si>
    <t>Manhattan</t>
  </si>
  <si>
    <t>East</t>
  </si>
  <si>
    <t>Midwest</t>
  </si>
  <si>
    <t>UMass</t>
  </si>
  <si>
    <t>Tennessee</t>
  </si>
  <si>
    <t>Providence</t>
  </si>
  <si>
    <t>Duke</t>
  </si>
  <si>
    <t>Mercer</t>
  </si>
  <si>
    <t>NC Central</t>
  </si>
  <si>
    <t>Michigan</t>
  </si>
  <si>
    <t>Texas</t>
  </si>
  <si>
    <t>Villanova</t>
  </si>
  <si>
    <t>Milwaukee</t>
  </si>
  <si>
    <t>Wofford</t>
  </si>
  <si>
    <t>Utah</t>
  </si>
  <si>
    <t>Northern Iowa</t>
  </si>
  <si>
    <t>North Carolina</t>
  </si>
  <si>
    <t>Notre Dame</t>
  </si>
  <si>
    <t>Georgetown</t>
  </si>
  <si>
    <t>SMU</t>
  </si>
  <si>
    <t>West Virginia</t>
  </si>
  <si>
    <t>Xavier</t>
  </si>
  <si>
    <t>Butler</t>
  </si>
  <si>
    <t>Iowa</t>
  </si>
  <si>
    <t>Arkansas</t>
  </si>
  <si>
    <t>LSU</t>
  </si>
  <si>
    <t>Davidson</t>
  </si>
  <si>
    <t>Maryland</t>
  </si>
  <si>
    <t>Team</t>
  </si>
  <si>
    <t>Texas A&amp;M</t>
  </si>
  <si>
    <t>Georgia</t>
  </si>
  <si>
    <t>Indiana</t>
  </si>
  <si>
    <t>Purdue</t>
  </si>
  <si>
    <t>Cincinnati</t>
  </si>
  <si>
    <t>Vanderbilt</t>
  </si>
  <si>
    <t>TCU</t>
  </si>
  <si>
    <t>Alabama</t>
  </si>
  <si>
    <t>Buffalo</t>
  </si>
  <si>
    <t>Richmond</t>
  </si>
  <si>
    <t>Minnesota</t>
  </si>
  <si>
    <t>Temple</t>
  </si>
  <si>
    <t>Illinois</t>
  </si>
  <si>
    <t>Saint Mary's</t>
  </si>
  <si>
    <t>Valparaiso</t>
  </si>
  <si>
    <t>South Carolina</t>
  </si>
  <si>
    <t>Toledo</t>
  </si>
  <si>
    <t>Green Bay</t>
  </si>
  <si>
    <t>Old Dominion</t>
  </si>
  <si>
    <t>Georgia Tech</t>
  </si>
  <si>
    <t>UTEP</t>
  </si>
  <si>
    <t>Yale</t>
  </si>
  <si>
    <t>Seton Hall</t>
  </si>
  <si>
    <t>Central Michigan</t>
  </si>
  <si>
    <t>Clemson</t>
  </si>
  <si>
    <t>Iona</t>
  </si>
  <si>
    <t>UC Davis</t>
  </si>
  <si>
    <t>La Salle</t>
  </si>
  <si>
    <t>Wake Forest</t>
  </si>
  <si>
    <t>Bowling Green</t>
  </si>
  <si>
    <t>UNLV</t>
  </si>
  <si>
    <t>William &amp; Mary</t>
  </si>
  <si>
    <t>UC Irvine</t>
  </si>
  <si>
    <t>San Diego</t>
  </si>
  <si>
    <t>Washington</t>
  </si>
  <si>
    <t>Northwestern</t>
  </si>
  <si>
    <t>Akron</t>
  </si>
  <si>
    <t>Marquette</t>
  </si>
  <si>
    <t>Pepperdine</t>
  </si>
  <si>
    <t>Vermont</t>
  </si>
  <si>
    <t>Wyoming</t>
  </si>
  <si>
    <t>Portland</t>
  </si>
  <si>
    <t>Northeastern</t>
  </si>
  <si>
    <t>San Francisco</t>
  </si>
  <si>
    <t>UAB</t>
  </si>
  <si>
    <t>Hofstra</t>
  </si>
  <si>
    <t>High Point</t>
  </si>
  <si>
    <t>Evansville</t>
  </si>
  <si>
    <t>DePaul</t>
  </si>
  <si>
    <t>Charlotte</t>
  </si>
  <si>
    <t>Hawaii</t>
  </si>
  <si>
    <t>Oakland</t>
  </si>
  <si>
    <t>Columbia</t>
  </si>
  <si>
    <t>North Florida</t>
  </si>
  <si>
    <t>Stony Brook</t>
  </si>
  <si>
    <t>Auburn</t>
  </si>
  <si>
    <t>Boston College</t>
  </si>
  <si>
    <t>Canisius</t>
  </si>
  <si>
    <t>Chattanooga</t>
  </si>
  <si>
    <t>Winthrop</t>
  </si>
  <si>
    <t>Rider</t>
  </si>
  <si>
    <t>Georgia Southern</t>
  </si>
  <si>
    <t>USC</t>
  </si>
  <si>
    <t>IPFW</t>
  </si>
  <si>
    <t>Montana</t>
  </si>
  <si>
    <t>Quinnipiac</t>
  </si>
  <si>
    <t>New Hampshire</t>
  </si>
  <si>
    <t>Texas Tech</t>
  </si>
  <si>
    <t>Radford</t>
  </si>
  <si>
    <t>Middle Tennessee</t>
  </si>
  <si>
    <t>Belmont</t>
  </si>
  <si>
    <t>Princeton</t>
  </si>
  <si>
    <t>Colgate</t>
  </si>
  <si>
    <t>Monmouth</t>
  </si>
  <si>
    <t>Bucknell</t>
  </si>
  <si>
    <t>NJIT</t>
  </si>
  <si>
    <t>UTSA</t>
  </si>
  <si>
    <t>USC Upstate</t>
  </si>
  <si>
    <t>Detroit</t>
  </si>
  <si>
    <t>Virginia Tech</t>
  </si>
  <si>
    <t>Cornell</t>
  </si>
  <si>
    <t>Incarnate Word</t>
  </si>
  <si>
    <t>Lehigh</t>
  </si>
  <si>
    <t>Dartmouth</t>
  </si>
  <si>
    <t>East Carolina</t>
  </si>
  <si>
    <t>Tulane</t>
  </si>
  <si>
    <t>Air Force</t>
  </si>
  <si>
    <t>Robert Morris</t>
  </si>
  <si>
    <t>Lafayette</t>
  </si>
  <si>
    <t>Duquesne</t>
  </si>
  <si>
    <t>Fordham</t>
  </si>
  <si>
    <t>Santa Clara</t>
  </si>
  <si>
    <t>Missouri</t>
  </si>
  <si>
    <t>Texas Southern</t>
  </si>
  <si>
    <t>Oral Roberts</t>
  </si>
  <si>
    <t>UC Riverside</t>
  </si>
  <si>
    <t>South Dakota</t>
  </si>
  <si>
    <t>Rutgers</t>
  </si>
  <si>
    <t>Idaho</t>
  </si>
  <si>
    <t>North Texas</t>
  </si>
  <si>
    <t>George Mason</t>
  </si>
  <si>
    <t>Sacred Heart</t>
  </si>
  <si>
    <t>Ohio</t>
  </si>
  <si>
    <t>Rice</t>
  </si>
  <si>
    <t>UNC Asheville</t>
  </si>
  <si>
    <t>Denver</t>
  </si>
  <si>
    <t>Bryant</t>
  </si>
  <si>
    <t>Howard</t>
  </si>
  <si>
    <t>Houston</t>
  </si>
  <si>
    <t>UCF</t>
  </si>
  <si>
    <t>Saint Louis</t>
  </si>
  <si>
    <t>Towson</t>
  </si>
  <si>
    <t>Drexel</t>
  </si>
  <si>
    <t>Pacific</t>
  </si>
  <si>
    <t>Drake</t>
  </si>
  <si>
    <t>Loyola Marymount</t>
  </si>
  <si>
    <t>Brown</t>
  </si>
  <si>
    <t>Lamar</t>
  </si>
  <si>
    <t>Nevada</t>
  </si>
  <si>
    <t>Holy Cross</t>
  </si>
  <si>
    <t>Army</t>
  </si>
  <si>
    <t>Grand Canyon</t>
  </si>
  <si>
    <t>Bradley</t>
  </si>
  <si>
    <t>Seattle</t>
  </si>
  <si>
    <t>Navy</t>
  </si>
  <si>
    <t>FIU</t>
  </si>
  <si>
    <t>Southern</t>
  </si>
  <si>
    <t>UNC Greensboro</t>
  </si>
  <si>
    <t>Marshall</t>
  </si>
  <si>
    <t>VMI</t>
  </si>
  <si>
    <t>IUPUI</t>
  </si>
  <si>
    <t>Fairfield</t>
  </si>
  <si>
    <t>Siena</t>
  </si>
  <si>
    <t>Samford</t>
  </si>
  <si>
    <t>LIU Brooklyn</t>
  </si>
  <si>
    <t>Elon</t>
  </si>
  <si>
    <t>Wagner</t>
  </si>
  <si>
    <t>Troy</t>
  </si>
  <si>
    <t>Florida Atlantic</t>
  </si>
  <si>
    <t>Hartford</t>
  </si>
  <si>
    <t>UMKC</t>
  </si>
  <si>
    <t>Hampton</t>
  </si>
  <si>
    <t>Lipscomb</t>
  </si>
  <si>
    <t>South Alabama</t>
  </si>
  <si>
    <t>Houston Baptist</t>
  </si>
  <si>
    <t>Niagara</t>
  </si>
  <si>
    <t>New Orleans</t>
  </si>
  <si>
    <t>Campbell</t>
  </si>
  <si>
    <t>Southern Utah</t>
  </si>
  <si>
    <t>UMass Lowell</t>
  </si>
  <si>
    <t>North Dakota</t>
  </si>
  <si>
    <t>Marist</t>
  </si>
  <si>
    <t>Austin Peay</t>
  </si>
  <si>
    <t>Utah Valley</t>
  </si>
  <si>
    <t>Longwood</t>
  </si>
  <si>
    <t>Southern Miss</t>
  </si>
  <si>
    <t>Fairleigh Dickinson</t>
  </si>
  <si>
    <t>Furman</t>
  </si>
  <si>
    <t>The Citadel</t>
  </si>
  <si>
    <t>Jacksonville</t>
  </si>
  <si>
    <t>Binghamton</t>
  </si>
  <si>
    <t>Alabama A&amp;M</t>
  </si>
  <si>
    <t>Presbyterian</t>
  </si>
  <si>
    <t>Stetson</t>
  </si>
  <si>
    <t>Liberty</t>
  </si>
  <si>
    <t>UMBC</t>
  </si>
  <si>
    <t>Maine</t>
  </si>
  <si>
    <t>Florida A&amp;M</t>
  </si>
  <si>
    <t>PVA</t>
  </si>
  <si>
    <t>Iowa State</t>
  </si>
  <si>
    <t>Michigan State</t>
  </si>
  <si>
    <t>Ole Miss</t>
  </si>
  <si>
    <t>San Diego State</t>
  </si>
  <si>
    <t>Colorado State</t>
  </si>
  <si>
    <t>Arizona State</t>
  </si>
  <si>
    <t>Boise State</t>
  </si>
  <si>
    <t>Murray State</t>
  </si>
  <si>
    <t>Illinois State</t>
  </si>
  <si>
    <t>Sam Houston</t>
  </si>
  <si>
    <t>Georgia State</t>
  </si>
  <si>
    <t>Oregon State</t>
  </si>
  <si>
    <t>Penn State</t>
  </si>
  <si>
    <t>New Mexico St</t>
  </si>
  <si>
    <t>Kent State</t>
  </si>
  <si>
    <t>Cleveland State</t>
  </si>
  <si>
    <t>South Dakota St</t>
  </si>
  <si>
    <t>Utah State</t>
  </si>
  <si>
    <t>Indiana State</t>
  </si>
  <si>
    <t>North Dakota St</t>
  </si>
  <si>
    <t>Washington St</t>
  </si>
  <si>
    <t>Norfolk State</t>
  </si>
  <si>
    <t>UL Monroe</t>
  </si>
  <si>
    <t>UT Martin</t>
  </si>
  <si>
    <t>Sacramento St</t>
  </si>
  <si>
    <t>Morehead State</t>
  </si>
  <si>
    <t>N Arizona</t>
  </si>
  <si>
    <t>Fresno State</t>
  </si>
  <si>
    <t>Miami (OH)</t>
  </si>
  <si>
    <t>Gardner-Webb</t>
  </si>
  <si>
    <t>Wright State</t>
  </si>
  <si>
    <t>Northwestern St</t>
  </si>
  <si>
    <t>Texas State</t>
  </si>
  <si>
    <t>Missouri State</t>
  </si>
  <si>
    <t>Boston U</t>
  </si>
  <si>
    <t>CSU Bakersfield</t>
  </si>
  <si>
    <t>St Francis (PA)</t>
  </si>
  <si>
    <t>SE Missouri St</t>
  </si>
  <si>
    <t>Ball State</t>
  </si>
  <si>
    <t>Alabama State</t>
  </si>
  <si>
    <t>Delaware State</t>
  </si>
  <si>
    <t>Youngstown St</t>
  </si>
  <si>
    <t>Weber State</t>
  </si>
  <si>
    <t>Arkansas State</t>
  </si>
  <si>
    <t>Charleston</t>
  </si>
  <si>
    <t>CS Fullerton</t>
  </si>
  <si>
    <t>CS Northridge</t>
  </si>
  <si>
    <t>SE Louisiana</t>
  </si>
  <si>
    <t>Omaha</t>
  </si>
  <si>
    <t>McNeese State</t>
  </si>
  <si>
    <t>Loyola (MD)</t>
  </si>
  <si>
    <t>Jacksonville St</t>
  </si>
  <si>
    <t>UIC</t>
  </si>
  <si>
    <t>Appalachian St</t>
  </si>
  <si>
    <t>Jackson State</t>
  </si>
  <si>
    <t>Montana State</t>
  </si>
  <si>
    <t>Idaho State</t>
  </si>
  <si>
    <t>Kennesaw St</t>
  </si>
  <si>
    <t>Bethune-Cookman</t>
  </si>
  <si>
    <t>Coppin State</t>
  </si>
  <si>
    <t>Nicholls State</t>
  </si>
  <si>
    <t>Morgan State</t>
  </si>
  <si>
    <t>Tennessee St</t>
  </si>
  <si>
    <t>Chicago State</t>
  </si>
  <si>
    <t>Savannah State</t>
  </si>
  <si>
    <t>San Jose State</t>
  </si>
  <si>
    <t>Alcorn State</t>
  </si>
  <si>
    <t>Grambling St</t>
  </si>
  <si>
    <t>Prediction Method:</t>
  </si>
  <si>
    <t xml:space="preserve"> </t>
  </si>
  <si>
    <t>Composite</t>
  </si>
  <si>
    <t>Loyola (CHI)</t>
  </si>
  <si>
    <t>Cal</t>
  </si>
  <si>
    <t>Pitt</t>
  </si>
  <si>
    <t>Kansas State</t>
  </si>
  <si>
    <t>G Washington</t>
  </si>
  <si>
    <t>URI</t>
  </si>
  <si>
    <t>St Bonaventure</t>
  </si>
  <si>
    <t>JMU</t>
  </si>
  <si>
    <t>UNC Wilmington</t>
  </si>
  <si>
    <t>Oklahoma State</t>
  </si>
  <si>
    <t>UCSB</t>
  </si>
  <si>
    <t>LA Tech</t>
  </si>
  <si>
    <t>St Peter's</t>
  </si>
  <si>
    <t>St John's</t>
  </si>
  <si>
    <t>Penn</t>
  </si>
  <si>
    <t>Portland State</t>
  </si>
  <si>
    <t>Charleston So</t>
  </si>
  <si>
    <t>N Colorado</t>
  </si>
  <si>
    <t>SIU ED</t>
  </si>
  <si>
    <t>NC A&amp;T</t>
  </si>
  <si>
    <t>UT Rio Grande</t>
  </si>
  <si>
    <t>Name</t>
  </si>
  <si>
    <t>Kenpom</t>
  </si>
  <si>
    <t>Sagarin</t>
  </si>
  <si>
    <t>AP</t>
  </si>
  <si>
    <t>Coaches</t>
  </si>
  <si>
    <t>Seed</t>
  </si>
  <si>
    <t>Miami</t>
  </si>
  <si>
    <t>Saint Joseph's</t>
  </si>
  <si>
    <t>AR Little Rock</t>
  </si>
  <si>
    <t>Florida State</t>
  </si>
  <si>
    <t>Ohio State</t>
  </si>
  <si>
    <t>Mississippi St</t>
  </si>
  <si>
    <t>UT Arlington</t>
  </si>
  <si>
    <t>Long Beach St</t>
  </si>
  <si>
    <t>LA Lafayette</t>
  </si>
  <si>
    <t>Southern Illinois</t>
  </si>
  <si>
    <t>TAMU Corpus Christi</t>
  </si>
  <si>
    <t>East Tennessee St</t>
  </si>
  <si>
    <t>Eastern Michigan</t>
  </si>
  <si>
    <t>Northern Illinois</t>
  </si>
  <si>
    <t>Western Kentucky</t>
  </si>
  <si>
    <t>Tennnessee Tech</t>
  </si>
  <si>
    <t>Eastern Washington</t>
  </si>
  <si>
    <t>Western Michigan</t>
  </si>
  <si>
    <t>Western Carolina</t>
  </si>
  <si>
    <t>Eastern Kentucky</t>
  </si>
  <si>
    <t>Florida Gulf Coast</t>
  </si>
  <si>
    <t>South Florida</t>
  </si>
  <si>
    <t>Western Illinois</t>
  </si>
  <si>
    <t>Northern Kentucky</t>
  </si>
  <si>
    <t>Mount St Mary's</t>
  </si>
  <si>
    <t>Eastern Illinois</t>
  </si>
  <si>
    <t>St Francis (NY)</t>
  </si>
  <si>
    <t>South Carolina St</t>
  </si>
  <si>
    <t>Central Arkansas</t>
  </si>
  <si>
    <t>Abiline Christian</t>
  </si>
  <si>
    <t>MD Eastern Shore</t>
  </si>
  <si>
    <t>Mississippi Valley St</t>
  </si>
  <si>
    <t>Prarie View A&amp;M</t>
  </si>
  <si>
    <t>AR Pine Bluff</t>
  </si>
  <si>
    <t>Central Connecticut St</t>
  </si>
  <si>
    <t>Desired Mean</t>
  </si>
  <si>
    <t>Desired Std. Dev</t>
  </si>
  <si>
    <t>All</t>
  </si>
  <si>
    <t>Wichita St</t>
  </si>
  <si>
    <t>Max</t>
  </si>
  <si>
    <t>50th</t>
  </si>
  <si>
    <t>Preseason AP</t>
  </si>
  <si>
    <t>Preseason Coaches</t>
  </si>
  <si>
    <t>Scale:</t>
  </si>
  <si>
    <t>ODDS</t>
  </si>
  <si>
    <t>TEAM</t>
  </si>
  <si>
    <t>SEED</t>
  </si>
  <si>
    <t>REGION</t>
  </si>
  <si>
    <t>Championship</t>
  </si>
  <si>
    <t>Final 4</t>
  </si>
  <si>
    <t>Elite 8</t>
  </si>
  <si>
    <t>Sweet 16</t>
  </si>
  <si>
    <t>Round of 32</t>
  </si>
  <si>
    <t>Round of 64 + 4</t>
  </si>
  <si>
    <t>Slope:</t>
  </si>
  <si>
    <t>Max Probability:</t>
  </si>
  <si>
    <t>Region</t>
  </si>
  <si>
    <t>Bracket Matrix Team</t>
  </si>
  <si>
    <t>Actual Team</t>
  </si>
  <si>
    <t>Play-In</t>
  </si>
  <si>
    <t>Bracket:</t>
  </si>
  <si>
    <t>Ranking</t>
  </si>
  <si>
    <t>Rank</t>
  </si>
  <si>
    <t>Kenpom Rank</t>
  </si>
  <si>
    <t>PVA Rank</t>
  </si>
  <si>
    <t>Preseason</t>
  </si>
  <si>
    <t>Sagarin Rank</t>
  </si>
  <si>
    <t>Preaseason Rank</t>
  </si>
  <si>
    <t>Actual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</si>
</sst>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0000000000%"/>
    <numFmt numFmtId="165" formatCode="0.0000000000000000%"/>
    <numFmt numFmtId="166" formatCode="0.0000"/>
  </numFmts>
  <fonts count="5" x14ac:knownFonts="1">
    <font>
      <sz val="12"/>
      <color theme="1"/>
      <name val="Courier New"/>
      <family val="2"/>
    </font>
    <font>
      <sz val="10"/>
      <color theme="1"/>
      <name val="Courier New"/>
      <family val="2"/>
    </font>
    <font>
      <sz val="12"/>
      <color theme="1"/>
      <name val="Courier New"/>
      <family val="2"/>
    </font>
    <font>
      <sz val="10"/>
      <name val="Courier New"/>
      <family val="2"/>
    </font>
    <font>
      <b/>
      <sz val="12"/>
      <color theme="1"/>
      <name val="Courier New"/>
      <family val="3"/>
    </font>
  </fonts>
  <fills count="2">
    <fill>
      <patternFill patternType="none"/>
    </fill>
    <fill>
      <patternFill patternType="gray125"/>
    </fill>
  </fills>
  <borders count="12">
    <border>
      <left/>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91">
    <xf numFmtId="0" fontId="0" fillId="0" borderId="0" xfId="0"/>
    <xf numFmtId="0" fontId="1" fillId="0" borderId="6" xfId="0" applyNumberFormat="1" applyFont="1" applyBorder="1" applyAlignment="1">
      <alignment horizontal="right" shrinkToFit="1"/>
    </xf>
    <xf numFmtId="0" fontId="1" fillId="0" borderId="0" xfId="0" applyNumberFormat="1" applyFont="1" applyAlignment="1">
      <alignment shrinkToFit="1"/>
    </xf>
    <xf numFmtId="0" fontId="1" fillId="0" borderId="0" xfId="0" applyNumberFormat="1" applyFont="1" applyAlignment="1">
      <alignment horizontal="right" shrinkToFit="1"/>
    </xf>
    <xf numFmtId="0" fontId="1" fillId="0" borderId="0" xfId="0" applyNumberFormat="1" applyFont="1" applyAlignment="1">
      <alignment horizontal="left" shrinkToFit="1"/>
    </xf>
    <xf numFmtId="0" fontId="1" fillId="0" borderId="0" xfId="0" applyNumberFormat="1" applyFont="1" applyAlignment="1">
      <alignment horizontal="center" shrinkToFit="1"/>
    </xf>
    <xf numFmtId="0" fontId="1" fillId="0" borderId="1" xfId="0" applyNumberFormat="1" applyFont="1" applyBorder="1" applyAlignment="1">
      <alignment horizontal="left" shrinkToFit="1"/>
    </xf>
    <xf numFmtId="0" fontId="1" fillId="0" borderId="2" xfId="0" applyNumberFormat="1" applyFont="1" applyBorder="1" applyAlignment="1">
      <alignment horizontal="right" shrinkToFit="1"/>
    </xf>
    <xf numFmtId="0" fontId="1" fillId="0" borderId="3" xfId="0" applyNumberFormat="1" applyFont="1" applyBorder="1" applyAlignment="1">
      <alignment horizontal="left" shrinkToFit="1"/>
    </xf>
    <xf numFmtId="0" fontId="1" fillId="0" borderId="4" xfId="0" applyNumberFormat="1" applyFont="1" applyBorder="1" applyAlignment="1">
      <alignment horizontal="left" vertical="center" shrinkToFit="1"/>
    </xf>
    <xf numFmtId="0" fontId="1" fillId="0" borderId="5" xfId="0" applyNumberFormat="1" applyFont="1" applyBorder="1" applyAlignment="1">
      <alignment horizontal="right" shrinkToFit="1"/>
    </xf>
    <xf numFmtId="0" fontId="1" fillId="0" borderId="5" xfId="0" applyNumberFormat="1" applyFont="1" applyBorder="1" applyAlignment="1">
      <alignment shrinkToFit="1"/>
    </xf>
    <xf numFmtId="0" fontId="1" fillId="0" borderId="6" xfId="0" applyNumberFormat="1" applyFont="1" applyBorder="1" applyAlignment="1">
      <alignment horizontal="left" shrinkToFit="1"/>
    </xf>
    <xf numFmtId="0" fontId="1" fillId="0" borderId="7" xfId="0" applyNumberFormat="1" applyFont="1" applyBorder="1" applyAlignment="1">
      <alignment horizontal="right" shrinkToFit="1"/>
    </xf>
    <xf numFmtId="0" fontId="1" fillId="0" borderId="8" xfId="0" applyNumberFormat="1" applyFont="1" applyBorder="1" applyAlignment="1">
      <alignment horizontal="left" shrinkToFit="1"/>
    </xf>
    <xf numFmtId="0" fontId="1" fillId="0" borderId="9" xfId="0" applyNumberFormat="1" applyFont="1" applyBorder="1" applyAlignment="1">
      <alignment horizontal="left" shrinkToFit="1"/>
    </xf>
    <xf numFmtId="0" fontId="1" fillId="0" borderId="7" xfId="0" applyNumberFormat="1" applyFont="1" applyBorder="1" applyAlignment="1">
      <alignment horizontal="left" shrinkToFit="1"/>
    </xf>
    <xf numFmtId="0" fontId="1" fillId="0" borderId="0" xfId="0" applyNumberFormat="1" applyFont="1" applyAlignment="1">
      <alignment horizontal="left" vertical="center" shrinkToFit="1"/>
    </xf>
    <xf numFmtId="0" fontId="1" fillId="0" borderId="8" xfId="0" applyNumberFormat="1" applyFont="1" applyBorder="1" applyAlignment="1">
      <alignment horizontal="right" shrinkToFit="1"/>
    </xf>
    <xf numFmtId="0" fontId="1" fillId="0" borderId="7" xfId="0" applyNumberFormat="1" applyFont="1" applyBorder="1" applyAlignment="1">
      <alignment shrinkToFit="1"/>
    </xf>
    <xf numFmtId="0" fontId="1" fillId="0" borderId="2" xfId="0" applyNumberFormat="1" applyFont="1" applyBorder="1" applyAlignment="1">
      <alignment horizontal="left" shrinkToFit="1"/>
    </xf>
    <xf numFmtId="0" fontId="1" fillId="0" borderId="5" xfId="0" applyNumberFormat="1" applyFont="1" applyBorder="1" applyAlignment="1">
      <alignment horizontal="left" shrinkToFit="1"/>
    </xf>
    <xf numFmtId="0" fontId="1" fillId="0" borderId="10" xfId="0" applyNumberFormat="1" applyFont="1" applyBorder="1" applyAlignment="1">
      <alignment horizontal="right" shrinkToFit="1"/>
    </xf>
    <xf numFmtId="0" fontId="1" fillId="0" borderId="0" xfId="0" applyNumberFormat="1" applyFont="1" applyBorder="1" applyAlignment="1">
      <alignment horizontal="left" shrinkToFit="1"/>
    </xf>
    <xf numFmtId="0" fontId="1" fillId="0" borderId="11" xfId="0" applyNumberFormat="1" applyFont="1" applyBorder="1" applyAlignment="1">
      <alignment horizontal="left" shrinkToFit="1"/>
    </xf>
    <xf numFmtId="0" fontId="1" fillId="0" borderId="0" xfId="0" applyNumberFormat="1" applyFont="1" applyAlignment="1">
      <alignment horizontal="right" vertical="center" shrinkToFit="1"/>
    </xf>
    <xf numFmtId="0" fontId="1" fillId="0" borderId="1" xfId="0" applyNumberFormat="1" applyFont="1" applyBorder="1" applyAlignment="1">
      <alignment horizontal="left" shrinkToFit="1"/>
    </xf>
    <xf numFmtId="0" fontId="1" fillId="0" borderId="10" xfId="0" applyNumberFormat="1" applyFont="1" applyBorder="1" applyAlignment="1">
      <alignment shrinkToFit="1"/>
    </xf>
    <xf numFmtId="0" fontId="1" fillId="0" borderId="4" xfId="0" applyNumberFormat="1" applyFont="1" applyBorder="1" applyAlignment="1">
      <alignment shrinkToFit="1"/>
    </xf>
    <xf numFmtId="0" fontId="1" fillId="0" borderId="2" xfId="0" applyNumberFormat="1" applyFont="1" applyBorder="1" applyAlignment="1">
      <alignment shrinkToFit="1"/>
    </xf>
    <xf numFmtId="0" fontId="1" fillId="0" borderId="1" xfId="0" applyNumberFormat="1" applyFont="1" applyBorder="1" applyAlignment="1">
      <alignment shrinkToFit="1"/>
    </xf>
    <xf numFmtId="0" fontId="1" fillId="0" borderId="6" xfId="0" applyNumberFormat="1" applyFont="1" applyBorder="1" applyAlignment="1">
      <alignment shrinkToFit="1"/>
    </xf>
    <xf numFmtId="0" fontId="1" fillId="0" borderId="10" xfId="0" applyNumberFormat="1" applyFont="1" applyBorder="1" applyAlignment="1">
      <alignment horizontal="left" shrinkToFit="1"/>
    </xf>
    <xf numFmtId="10" fontId="1" fillId="0" borderId="3" xfId="1" applyNumberFormat="1" applyFont="1" applyBorder="1" applyAlignment="1">
      <alignment horizontal="right" shrinkToFit="1"/>
    </xf>
    <xf numFmtId="10" fontId="1" fillId="0" borderId="0" xfId="1" applyNumberFormat="1" applyFont="1" applyAlignment="1">
      <alignment horizontal="right" shrinkToFit="1"/>
    </xf>
    <xf numFmtId="10" fontId="1" fillId="0" borderId="7" xfId="1" applyNumberFormat="1" applyFont="1" applyBorder="1" applyAlignment="1">
      <alignment horizontal="right" shrinkToFit="1"/>
    </xf>
    <xf numFmtId="10" fontId="1" fillId="0" borderId="7" xfId="1" applyNumberFormat="1" applyFont="1" applyBorder="1" applyAlignment="1">
      <alignment shrinkToFit="1"/>
    </xf>
    <xf numFmtId="10" fontId="1" fillId="0" borderId="0" xfId="1" applyNumberFormat="1" applyFont="1" applyAlignment="1">
      <alignment shrinkToFit="1"/>
    </xf>
    <xf numFmtId="10" fontId="1" fillId="0" borderId="9" xfId="1" applyNumberFormat="1" applyFont="1" applyBorder="1" applyAlignment="1">
      <alignment horizontal="left" shrinkToFit="1"/>
    </xf>
    <xf numFmtId="10" fontId="1" fillId="0" borderId="7" xfId="1" applyNumberFormat="1" applyFont="1" applyBorder="1" applyAlignment="1">
      <alignment horizontal="left" shrinkToFit="1"/>
    </xf>
    <xf numFmtId="0" fontId="3" fillId="0" borderId="6" xfId="0" applyNumberFormat="1" applyFont="1" applyBorder="1" applyAlignment="1">
      <alignment horizontal="left" shrinkToFit="1"/>
    </xf>
    <xf numFmtId="0" fontId="3" fillId="0" borderId="11" xfId="0" applyNumberFormat="1" applyFont="1" applyBorder="1" applyAlignment="1">
      <alignment horizontal="left" shrinkToFit="1"/>
    </xf>
    <xf numFmtId="164" fontId="1" fillId="0" borderId="0" xfId="0" applyNumberFormat="1" applyFont="1" applyAlignment="1">
      <alignment shrinkToFit="1"/>
    </xf>
    <xf numFmtId="165" fontId="1" fillId="0" borderId="0" xfId="0" applyNumberFormat="1" applyFont="1" applyAlignment="1">
      <alignment shrinkToFit="1"/>
    </xf>
    <xf numFmtId="2" fontId="0" fillId="0" borderId="0" xfId="0" applyNumberFormat="1" applyAlignment="1">
      <alignment horizontal="center" vertical="center"/>
    </xf>
    <xf numFmtId="2" fontId="4" fillId="0" borderId="0" xfId="0" applyNumberFormat="1" applyFont="1" applyAlignment="1">
      <alignment horizontal="center" vertical="center"/>
    </xf>
    <xf numFmtId="0" fontId="1" fillId="0" borderId="1" xfId="0" applyNumberFormat="1" applyFont="1" applyBorder="1" applyAlignment="1">
      <alignment horizontal="left" shrinkToFit="1"/>
    </xf>
    <xf numFmtId="0" fontId="1" fillId="0" borderId="5" xfId="0" applyNumberFormat="1" applyFont="1" applyBorder="1" applyAlignment="1">
      <alignment horizontal="left" shrinkToFit="1"/>
    </xf>
    <xf numFmtId="0" fontId="1" fillId="0" borderId="5" xfId="0" applyNumberFormat="1" applyFont="1" applyBorder="1" applyAlignment="1">
      <alignment horizontal="right" shrinkToFit="1"/>
    </xf>
    <xf numFmtId="0" fontId="1" fillId="0" borderId="1" xfId="0" applyNumberFormat="1" applyFont="1" applyBorder="1" applyAlignment="1">
      <alignment horizontal="right" shrinkToFit="1"/>
    </xf>
    <xf numFmtId="0" fontId="1" fillId="0" borderId="6" xfId="0" applyNumberFormat="1" applyFont="1" applyBorder="1" applyAlignment="1">
      <alignment horizontal="right" shrinkToFit="1"/>
    </xf>
    <xf numFmtId="166" fontId="4" fillId="0" borderId="0" xfId="0" applyNumberFormat="1" applyFont="1" applyAlignment="1">
      <alignment horizontal="center" vertical="center"/>
    </xf>
    <xf numFmtId="166" fontId="0" fillId="0" borderId="0" xfId="0" applyNumberFormat="1" applyAlignment="1">
      <alignment horizontal="center" vertical="center"/>
    </xf>
    <xf numFmtId="0" fontId="1" fillId="0" borderId="1" xfId="0" applyNumberFormat="1" applyFont="1" applyBorder="1" applyAlignment="1">
      <alignment horizontal="right" shrinkToFit="1"/>
    </xf>
    <xf numFmtId="0" fontId="1" fillId="0" borderId="6" xfId="0" applyNumberFormat="1" applyFont="1" applyBorder="1" applyAlignment="1">
      <alignment horizontal="right" shrinkToFit="1"/>
    </xf>
    <xf numFmtId="0" fontId="1" fillId="0" borderId="0" xfId="0" applyFont="1" applyAlignment="1">
      <alignment horizontal="center" vertical="center"/>
    </xf>
    <xf numFmtId="10" fontId="0" fillId="0" borderId="0" xfId="1" applyNumberFormat="1" applyFont="1"/>
    <xf numFmtId="10" fontId="1" fillId="0" borderId="0" xfId="0" applyNumberFormat="1"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10" fontId="0" fillId="0" borderId="0" xfId="0" applyNumberFormat="1"/>
    <xf numFmtId="166" fontId="4" fillId="0" borderId="0" xfId="0" applyNumberFormat="1" applyFont="1" applyAlignment="1">
      <alignment horizontal="left" vertical="center"/>
    </xf>
    <xf numFmtId="10" fontId="0" fillId="0" borderId="0" xfId="1" applyNumberFormat="1" applyFont="1" applyAlignment="1">
      <alignment horizontal="center" vertical="center"/>
    </xf>
    <xf numFmtId="0" fontId="0" fillId="0" borderId="0" xfId="0" applyNumberFormat="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left" vertical="center"/>
    </xf>
    <xf numFmtId="0" fontId="1" fillId="0" borderId="1" xfId="0" applyNumberFormat="1" applyFont="1" applyBorder="1" applyAlignment="1">
      <alignment horizontal="left" shrinkToFit="1"/>
    </xf>
    <xf numFmtId="0" fontId="1" fillId="0" borderId="1" xfId="0" applyNumberFormat="1" applyFont="1" applyBorder="1" applyAlignment="1">
      <alignment horizontal="right" shrinkToFit="1"/>
    </xf>
    <xf numFmtId="0" fontId="1" fillId="0" borderId="6" xfId="0" applyNumberFormat="1" applyFont="1" applyBorder="1" applyAlignment="1">
      <alignment horizontal="right" shrinkToFit="1"/>
    </xf>
    <xf numFmtId="49" fontId="0" fillId="0" borderId="0" xfId="0" applyNumberFormat="1"/>
    <xf numFmtId="0" fontId="1" fillId="0" borderId="0" xfId="0" applyNumberFormat="1" applyFont="1" applyAlignment="1">
      <alignment horizontal="center" shrinkToFit="1"/>
    </xf>
    <xf numFmtId="0" fontId="1" fillId="0" borderId="10" xfId="0" applyNumberFormat="1" applyFont="1" applyBorder="1" applyAlignment="1">
      <alignment horizontal="right" shrinkToFit="1"/>
    </xf>
    <xf numFmtId="0" fontId="1" fillId="0" borderId="4" xfId="0" applyNumberFormat="1" applyFont="1" applyBorder="1" applyAlignment="1">
      <alignment horizontal="right" shrinkToFit="1"/>
    </xf>
    <xf numFmtId="0" fontId="1" fillId="0" borderId="1" xfId="0" applyNumberFormat="1" applyFont="1" applyBorder="1" applyAlignment="1">
      <alignment horizontal="left" shrinkToFit="1"/>
    </xf>
    <xf numFmtId="0" fontId="1" fillId="0" borderId="6" xfId="0" applyNumberFormat="1" applyFont="1" applyBorder="1" applyAlignment="1">
      <alignment horizontal="left" shrinkToFit="1"/>
    </xf>
    <xf numFmtId="0" fontId="1" fillId="0" borderId="10" xfId="0" applyNumberFormat="1" applyFont="1" applyBorder="1" applyAlignment="1">
      <alignment horizontal="left" shrinkToFit="1"/>
    </xf>
    <xf numFmtId="0" fontId="1" fillId="0" borderId="2" xfId="0" applyNumberFormat="1" applyFont="1" applyBorder="1" applyAlignment="1">
      <alignment horizontal="left" shrinkToFit="1"/>
    </xf>
    <xf numFmtId="0" fontId="1" fillId="0" borderId="5" xfId="0" applyNumberFormat="1" applyFont="1" applyBorder="1" applyAlignment="1">
      <alignment horizontal="left" shrinkToFit="1"/>
    </xf>
    <xf numFmtId="0" fontId="1" fillId="0" borderId="4" xfId="0" applyNumberFormat="1" applyFont="1" applyBorder="1" applyAlignment="1">
      <alignment horizontal="left" shrinkToFit="1"/>
    </xf>
    <xf numFmtId="0" fontId="1" fillId="0" borderId="5" xfId="0" applyNumberFormat="1" applyFont="1" applyBorder="1" applyAlignment="1">
      <alignment horizontal="center" shrinkToFit="1"/>
    </xf>
    <xf numFmtId="0" fontId="1" fillId="0" borderId="6" xfId="0" applyNumberFormat="1" applyFont="1" applyBorder="1" applyAlignment="1">
      <alignment horizontal="center" shrinkToFit="1"/>
    </xf>
    <xf numFmtId="0" fontId="1" fillId="0" borderId="7" xfId="0" applyNumberFormat="1" applyFont="1" applyBorder="1" applyAlignment="1">
      <alignment horizontal="center" vertical="center" shrinkToFit="1"/>
    </xf>
    <xf numFmtId="0" fontId="1" fillId="0" borderId="0" xfId="0" applyNumberFormat="1" applyFont="1" applyBorder="1" applyAlignment="1">
      <alignment horizontal="center" vertical="center" shrinkToFit="1"/>
    </xf>
    <xf numFmtId="0" fontId="1" fillId="0" borderId="3" xfId="0" applyNumberFormat="1" applyFont="1" applyBorder="1" applyAlignment="1">
      <alignment horizontal="center" vertical="center" shrinkToFit="1"/>
    </xf>
    <xf numFmtId="0" fontId="1" fillId="0" borderId="5" xfId="0" applyNumberFormat="1" applyFont="1" applyBorder="1" applyAlignment="1">
      <alignment horizontal="right" shrinkToFit="1"/>
    </xf>
    <xf numFmtId="0" fontId="1" fillId="0" borderId="1" xfId="0" applyNumberFormat="1" applyFont="1" applyBorder="1" applyAlignment="1">
      <alignment horizontal="right" shrinkToFit="1"/>
    </xf>
    <xf numFmtId="0" fontId="1" fillId="0" borderId="2" xfId="0" applyNumberFormat="1" applyFont="1" applyBorder="1" applyAlignment="1">
      <alignment horizontal="right" shrinkToFit="1"/>
    </xf>
    <xf numFmtId="0" fontId="1" fillId="0" borderId="6" xfId="0" applyNumberFormat="1" applyFont="1" applyBorder="1" applyAlignment="1">
      <alignment horizontal="right" shrinkToFit="1"/>
    </xf>
    <xf numFmtId="0" fontId="1" fillId="0" borderId="0" xfId="0" applyFont="1" applyAlignment="1">
      <alignment horizontal="center" vertical="center"/>
    </xf>
  </cellXfs>
  <cellStyles count="2">
    <cellStyle name="Normal" xfId="0" builtinId="0"/>
    <cellStyle name="Percent" xfId="1" builtinId="5"/>
  </cellStyles>
  <dxfs count="13">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2"/>
        <color theme="1"/>
        <name val="Courier New"/>
        <scheme val="none"/>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15240</xdr:colOff>
          <xdr:row>0</xdr:row>
          <xdr:rowOff>0</xdr:rowOff>
        </xdr:from>
        <xdr:to>
          <xdr:col>11</xdr:col>
          <xdr:colOff>7620</xdr:colOff>
          <xdr:row>0</xdr:row>
          <xdr:rowOff>236220</xdr:rowOff>
        </xdr:to>
        <xdr:sp macro="" textlink="">
          <xdr:nvSpPr>
            <xdr:cNvPr id="1027" name="ClearPicks"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team_data" refreshOnLoad="1" connectionId="1" autoFormatId="16" applyNumberFormats="0" applyBorderFormats="0" applyFontFormats="0" applyPatternFormats="0" applyAlignmentFormats="0" applyWidthHeightFormats="0"/>
</file>

<file path=xl/tables/table1.xml><?xml version="1.0" encoding="utf-8"?>
<table xmlns="http://schemas.openxmlformats.org/spreadsheetml/2006/main" id="1" name="Table1" displayName="Table1" ref="A1:K352" totalsRowShown="0" headerRowDxfId="12" dataDxfId="11">
  <autoFilter ref="A1:K352"/>
  <sortState ref="A2:K352">
    <sortCondition descending="1" ref="C1:C352"/>
  </sortState>
  <tableColumns count="11">
    <tableColumn id="1" name="Rank" dataDxfId="10">
      <calculatedColumnFormula>RANK(Table1[[#This Row],[Composite]],Table1[Composite])</calculatedColumnFormula>
    </tableColumn>
    <tableColumn id="2" name="Team" dataDxfId="9">
      <calculatedColumnFormula>'Adj Data'!A2</calculatedColumnFormula>
    </tableColumn>
    <tableColumn id="3" name="Composite" dataDxfId="8">
      <calculatedColumnFormula>'Adj Data'!G2</calculatedColumnFormula>
    </tableColumn>
    <tableColumn id="4" name="Kenpom" dataDxfId="7">
      <calculatedColumnFormula>'Adj Data'!B2</calculatedColumnFormula>
    </tableColumn>
    <tableColumn id="5" name="Kenpom Rank" dataDxfId="6">
      <calculatedColumnFormula>RANK(Table1[[#This Row],[Kenpom]],Table1[Kenpom])</calculatedColumnFormula>
    </tableColumn>
    <tableColumn id="6" name="PVA" dataDxfId="5">
      <calculatedColumnFormula>'Adj Data'!C2</calculatedColumnFormula>
    </tableColumn>
    <tableColumn id="7" name="PVA Rank" dataDxfId="4">
      <calculatedColumnFormula>RANK(Table1[[#This Row],[PVA]],Table1[PVA])</calculatedColumnFormula>
    </tableColumn>
    <tableColumn id="8" name="Sagarin" dataDxfId="3">
      <calculatedColumnFormula>'Adj Data'!D2</calculatedColumnFormula>
    </tableColumn>
    <tableColumn id="9" name="Sagarin Rank" dataDxfId="2">
      <calculatedColumnFormula>RANK(Table1[[#This Row],[Sagarin]],Table1[Sagarin])</calculatedColumnFormula>
    </tableColumn>
    <tableColumn id="10" name="Preseason" dataDxfId="1">
      <calculatedColumnFormula>IFERROR(AVERAGE('Adj Data'!E2,'Adj Data'!F2),"")</calculatedColumnFormula>
    </tableColumn>
    <tableColumn id="11" name="Preaseason Rank" dataDxfId="0">
      <calculatedColumnFormula>IFERROR(RANK(Table1[[#This Row],[Preseason]],Table1[Preseason]),"")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118"/>
  <sheetViews>
    <sheetView tabSelected="1" zoomScale="85" zoomScaleNormal="85" workbookViewId="0">
      <pane ySplit="1" topLeftCell="A2" activePane="bottomLeft" state="frozen"/>
      <selection pane="bottomLeft" activeCell="R5" sqref="R5"/>
    </sheetView>
  </sheetViews>
  <sheetFormatPr defaultColWidth="8.08203125" defaultRowHeight="13.8" x14ac:dyDescent="0.3"/>
  <cols>
    <col min="1" max="1" width="9.58203125" style="2" customWidth="1"/>
    <col min="2" max="3" width="9.58203125" style="3" customWidth="1"/>
    <col min="4" max="15" width="9.58203125" style="2" customWidth="1"/>
    <col min="16" max="19" width="9.58203125" style="4" customWidth="1"/>
    <col min="20" max="16384" width="8.08203125" style="2"/>
  </cols>
  <sheetData>
    <row r="1" spans="1:19" ht="19.2" customHeight="1" x14ac:dyDescent="0.3">
      <c r="A1" s="2">
        <v>64</v>
      </c>
      <c r="B1" s="3">
        <v>32</v>
      </c>
      <c r="C1" s="3">
        <v>16</v>
      </c>
      <c r="D1" s="2">
        <v>8</v>
      </c>
      <c r="G1" s="72" t="s">
        <v>300</v>
      </c>
      <c r="H1" s="72"/>
      <c r="I1" s="2" t="s">
        <v>302</v>
      </c>
      <c r="M1" s="3" t="s">
        <v>390</v>
      </c>
      <c r="N1" s="2" t="s">
        <v>398</v>
      </c>
      <c r="P1" s="4">
        <v>8</v>
      </c>
      <c r="Q1" s="4">
        <v>16</v>
      </c>
      <c r="R1" s="4">
        <v>32</v>
      </c>
      <c r="S1" s="4">
        <v>64</v>
      </c>
    </row>
    <row r="2" spans="1:19" x14ac:dyDescent="0.3">
      <c r="G2" s="5"/>
      <c r="H2" s="5"/>
    </row>
    <row r="3" spans="1:19" x14ac:dyDescent="0.3">
      <c r="A3" s="69" t="str">
        <f ca="1">IF($N$1&lt;&gt;"",IF($N$1="Bracket Matrix",OFFSET(Seeds!$C$1,MATCH($C$30,Seeds!$B$2:$B$73,0) + Bracket!A4-1,0),OFFSET(Seeds!$D$1,MATCH($C$30,Seeds!$B$2:$B$73,0) + Bracket!A4-1,0)),"")</f>
        <v>Kansas</v>
      </c>
      <c r="E3" s="69" t="str">
        <f>IF($N$1="Bracket Matrix",Seeds!C72,IF($N$1="Actual",Seeds!D72,""))</f>
        <v>Florida Gulf Coast</v>
      </c>
      <c r="H3" s="69" t="str">
        <f>IF($N$1="Bracket Matrix",Seeds!C70,IF($N$1="Actual",Seeds!D70,""))</f>
        <v>Southern</v>
      </c>
      <c r="K3" s="69" t="str">
        <f>IF($N$1="Bracket Matrix",Seeds!C68,IF($N$1="Actual",Seeds!D68,""))</f>
        <v>Michigan</v>
      </c>
      <c r="N3" s="69" t="str">
        <f>IF($N$1="Bracket Matrix",Seeds!C66,IF($N$1="Actual",Seeds!D66,""))</f>
        <v>Vanderbilt</v>
      </c>
      <c r="S3" s="68" t="str">
        <f ca="1">IF($N$1&lt;&gt;"",IF($N$1="Bracket Matrix",OFFSET(Seeds!$C$1,MATCH($Q$30,Seeds!$B$2:$B$73,0) + Bracket!S4-1,0),OFFSET(Seeds!$D$1,MATCH($Q$30,Seeds!$B$2:$B$73,0) + Bracket!S4-1,0)),"")</f>
        <v>North Carolina</v>
      </c>
    </row>
    <row r="4" spans="1:19" x14ac:dyDescent="0.3">
      <c r="A4" s="7">
        <v>1</v>
      </c>
      <c r="E4" s="7">
        <v>16</v>
      </c>
      <c r="H4" s="7">
        <v>16</v>
      </c>
      <c r="K4" s="7">
        <v>11</v>
      </c>
      <c r="N4" s="7">
        <v>11</v>
      </c>
      <c r="R4" s="8"/>
      <c r="S4" s="9">
        <v>1</v>
      </c>
    </row>
    <row r="5" spans="1:19" x14ac:dyDescent="0.3">
      <c r="A5" s="33">
        <f ca="1">'Bracket Raw'!D3</f>
        <v>0.99990000000000001</v>
      </c>
      <c r="B5" s="10" t="s">
        <v>22</v>
      </c>
      <c r="E5" s="33">
        <f ca="1">'Bracket Raw'!D67</f>
        <v>0.7011232450318543</v>
      </c>
      <c r="F5" s="48" t="s">
        <v>350</v>
      </c>
      <c r="H5" s="33">
        <f ca="1">'Bracket Raw'!D69</f>
        <v>0.59601630728678512</v>
      </c>
      <c r="I5" s="48" t="s">
        <v>182</v>
      </c>
      <c r="K5" s="33">
        <f ca="1">'Bracket Raw'!D71</f>
        <v>0.54260893297791368</v>
      </c>
      <c r="L5" s="48" t="s">
        <v>43</v>
      </c>
      <c r="N5" s="33">
        <f ca="1">'Bracket Raw'!D73</f>
        <v>0.43088254351803706</v>
      </c>
      <c r="O5" s="48" t="s">
        <v>368</v>
      </c>
      <c r="R5" s="26" t="s">
        <v>50</v>
      </c>
      <c r="S5" s="35">
        <f ca="1">'Bracket Raw'!D35</f>
        <v>0.99990000000000001</v>
      </c>
    </row>
    <row r="6" spans="1:19" x14ac:dyDescent="0.3">
      <c r="A6" s="33">
        <f ca="1">'Bracket Raw'!D4</f>
        <v>9.9999999999988987E-5</v>
      </c>
      <c r="B6" s="3">
        <f ca="1">IF(B5="","",IF(B5=A3,A4,A8))</f>
        <v>1</v>
      </c>
      <c r="C6" s="13"/>
      <c r="E6" s="33">
        <f ca="1">'Bracket Raw'!D68</f>
        <v>0.2988767549681457</v>
      </c>
      <c r="F6" s="3">
        <f>IF(F5=E3,E4,IF(F5=E7,E8,""))</f>
        <v>16</v>
      </c>
      <c r="H6" s="33">
        <f ca="1">'Bracket Raw'!D70</f>
        <v>0.40398369271321488</v>
      </c>
      <c r="I6" s="3">
        <f>IF(I5=H3,H4,IF(I5=H7,H8,""))</f>
        <v>16</v>
      </c>
      <c r="K6" s="33">
        <f ca="1">'Bracket Raw'!D72</f>
        <v>0.45739106702208632</v>
      </c>
      <c r="L6" s="3">
        <f>IF(L5=K3,K4,IF(L5=K7,K8,""))</f>
        <v>11</v>
      </c>
      <c r="N6" s="33">
        <f ca="1">'Bracket Raw'!D74</f>
        <v>0.56911745648196299</v>
      </c>
      <c r="O6" s="3">
        <f>IF(O5=N3,N4,IF(O5=N7,N8,""))</f>
        <v>11</v>
      </c>
      <c r="R6" s="14">
        <f ca="1">IF(R5="","",IF(R5=S3,S4,S8))</f>
        <v>1</v>
      </c>
      <c r="S6" s="35">
        <f ca="1">'Bracket Raw'!D36</f>
        <v>9.9999999999988987E-5</v>
      </c>
    </row>
    <row r="7" spans="1:19" x14ac:dyDescent="0.3">
      <c r="A7" s="70" t="str">
        <f ca="1">IF($N$1&lt;&gt;"",IF($N$1="Bracket Matrix",OFFSET(Seeds!$C$1,MATCH($C$30,Seeds!$B$2:$B$73,0) + Bracket!A8-1,0),OFFSET(Seeds!$D$1,MATCH($C$30,Seeds!$B$2:$B$73,0) + Bracket!A8-1,0)),"")</f>
        <v>Austin Peay</v>
      </c>
      <c r="B7" s="34">
        <f ca="1">'Bracket Raw'!H3</f>
        <v>0.68104863227395296</v>
      </c>
      <c r="C7" s="13"/>
      <c r="E7" s="1" t="str">
        <f>IF($N$1="Bracket Matrix",Seeds!C73,IF($N$1="Actual",Seeds!D73,""))</f>
        <v>Fairleigh Dickinson</v>
      </c>
      <c r="H7" s="50" t="str">
        <f>IF($N$1="Bracket Matrix",Seeds!C71,IF($N$1="Actual",Seeds!D71,""))</f>
        <v>Holy Cross</v>
      </c>
      <c r="K7" s="50" t="str">
        <f>IF($N$1="Bracket Matrix",Seeds!C69,IF($N$1="Actual",Seeds!D69,""))</f>
        <v>Tulsa</v>
      </c>
      <c r="N7" s="50" t="str">
        <f>IF($N$1="Bracket Matrix",Seeds!C67,IF($N$1="Actual",Seeds!D67,""))</f>
        <v>Wichita St</v>
      </c>
      <c r="R7" s="38">
        <f ca="1">'Bracket Raw'!H19</f>
        <v>0.77320612969146119</v>
      </c>
      <c r="S7" s="6" t="str">
        <f>F5</f>
        <v>Florida Gulf Coast</v>
      </c>
    </row>
    <row r="8" spans="1:19" x14ac:dyDescent="0.3">
      <c r="A8" s="3">
        <v>16</v>
      </c>
      <c r="C8" s="10"/>
      <c r="E8" s="3">
        <v>16</v>
      </c>
      <c r="H8" s="3">
        <v>16</v>
      </c>
      <c r="K8" s="3">
        <v>11</v>
      </c>
      <c r="N8" s="3">
        <v>11</v>
      </c>
      <c r="Q8" s="6"/>
      <c r="R8" s="16"/>
      <c r="S8" s="17">
        <v>16</v>
      </c>
    </row>
    <row r="9" spans="1:19" x14ac:dyDescent="0.3">
      <c r="A9" s="3"/>
      <c r="C9" s="18" t="str">
        <f>IF(C8=B5,B6,IF(C8=B12,B13,""))</f>
        <v/>
      </c>
      <c r="D9" s="19"/>
      <c r="Q9" s="14" t="str">
        <f>IF(Q8=R5,R6,IF(Q8=R12,R13,""))</f>
        <v/>
      </c>
      <c r="R9" s="16"/>
      <c r="S9" s="17"/>
    </row>
    <row r="10" spans="1:19" x14ac:dyDescent="0.3">
      <c r="A10" s="53" t="str">
        <f ca="1">IF($N$1&lt;&gt;"",IF($N$1="Bracket Matrix",OFFSET(Seeds!$C$1,MATCH($C$30,Seeds!$B$2:$B$73,0) + Bracket!A11-1,0),OFFSET(Seeds!$D$1,MATCH($C$30,Seeds!$B$2:$B$73,0) + Bracket!A11-1,0)),"")</f>
        <v>Colorado</v>
      </c>
      <c r="C10" s="35" t="str">
        <f>'Bracket Raw'!L3</f>
        <v/>
      </c>
      <c r="D10" s="19"/>
      <c r="Q10" s="39" t="str">
        <f>'Bracket Raw'!L11</f>
        <v/>
      </c>
      <c r="R10" s="16"/>
      <c r="S10" s="46" t="str">
        <f ca="1">IF($N$1&lt;&gt;"",IF($N$1="Bracket Matrix",OFFSET(Seeds!$C$1,MATCH($Q$30,Seeds!$B$2:$B$73,0) + Bracket!S11-1,0),OFFSET(Seeds!$D$1,MATCH($Q$30,Seeds!$B$2:$B$73,0) + Bracket!S11-1,0)),"")</f>
        <v>USC</v>
      </c>
    </row>
    <row r="11" spans="1:19" x14ac:dyDescent="0.3">
      <c r="A11" s="7">
        <v>8</v>
      </c>
      <c r="B11" s="34">
        <f ca="1">'Bracket Raw'!H4</f>
        <v>0.31895136772604704</v>
      </c>
      <c r="C11" s="13"/>
      <c r="D11" s="19"/>
      <c r="Q11" s="16"/>
      <c r="R11" s="38">
        <f ca="1">'Bracket Raw'!H20</f>
        <v>0.22679387030853881</v>
      </c>
      <c r="S11" s="9">
        <v>8</v>
      </c>
    </row>
    <row r="12" spans="1:19" x14ac:dyDescent="0.3">
      <c r="A12" s="33">
        <f ca="1">'Bracket Raw'!D5</f>
        <v>0.42007562632518802</v>
      </c>
      <c r="B12" s="10" t="s">
        <v>24</v>
      </c>
      <c r="C12" s="13"/>
      <c r="D12" s="19"/>
      <c r="Q12" s="16"/>
      <c r="R12" s="15" t="s">
        <v>39</v>
      </c>
      <c r="S12" s="35">
        <f ca="1">'Bracket Raw'!D37</f>
        <v>0.51194183953107608</v>
      </c>
    </row>
    <row r="13" spans="1:19" x14ac:dyDescent="0.3">
      <c r="A13" s="33">
        <f ca="1">'Bracket Raw'!D6</f>
        <v>0.57992437367481198</v>
      </c>
      <c r="B13" s="3">
        <f ca="1">IF(B12="","",IF(B12=A10,A11,A15))</f>
        <v>9</v>
      </c>
      <c r="D13" s="19"/>
      <c r="Q13" s="16"/>
      <c r="R13" s="20">
        <f ca="1">IF(R12="","",IF(R12=S10,S11,S15))</f>
        <v>9</v>
      </c>
      <c r="S13" s="35">
        <f ca="1">'Bracket Raw'!D38</f>
        <v>0.48805816046892392</v>
      </c>
    </row>
    <row r="14" spans="1:19" x14ac:dyDescent="0.3">
      <c r="A14" s="54" t="str">
        <f ca="1">IF($N$1&lt;&gt;"",IF($N$1="Bracket Matrix",OFFSET(Seeds!$C$1,MATCH($C$30,Seeds!$B$2:$B$73,0) + Bracket!A15-1,0),OFFSET(Seeds!$D$1,MATCH($C$30,Seeds!$B$2:$B$73,0) + Bracket!A15-1,0)),"")</f>
        <v>UConn</v>
      </c>
      <c r="D14" s="19"/>
      <c r="Q14" s="16"/>
      <c r="R14" s="8"/>
      <c r="S14" s="46" t="str">
        <f ca="1">IF($N$1&lt;&gt;"",IF($N$1="Bracket Matrix",OFFSET(Seeds!$C$1,MATCH($Q$30,Seeds!$B$2:$B$73,0) + Bracket!S15-1,0),OFFSET(Seeds!$D$1,MATCH($Q$30,Seeds!$B$2:$B$73,0) + Bracket!S15-1,0)),"")</f>
        <v>Providence</v>
      </c>
    </row>
    <row r="15" spans="1:19" x14ac:dyDescent="0.3">
      <c r="A15" s="3">
        <v>9</v>
      </c>
      <c r="D15" s="11"/>
      <c r="P15" s="6"/>
      <c r="Q15" s="16"/>
      <c r="S15" s="17">
        <v>9</v>
      </c>
    </row>
    <row r="16" spans="1:19" x14ac:dyDescent="0.3">
      <c r="A16" s="3"/>
      <c r="D16" s="18" t="str">
        <f>IF(D15=C8,C9,IF(D15=C22,C23,""))</f>
        <v/>
      </c>
      <c r="E16" s="19"/>
      <c r="P16" s="14" t="str">
        <f>IF(P15=Q8,Q9,IF(P15=Q22,Q23,""))</f>
        <v/>
      </c>
      <c r="Q16" s="16"/>
      <c r="S16" s="17"/>
    </row>
    <row r="17" spans="1:19" x14ac:dyDescent="0.3">
      <c r="A17" s="53" t="str">
        <f ca="1">IF($N$1&lt;&gt;"",IF($N$1="Bracket Matrix",OFFSET(Seeds!$C$1,MATCH($C$30,Seeds!$B$2:$B$73,0) + Bracket!A18-1,0),OFFSET(Seeds!$D$1,MATCH($C$30,Seeds!$B$2:$B$73,0) + Bracket!A18-1,0)),"")</f>
        <v>Maryland</v>
      </c>
      <c r="D17" s="36" t="str">
        <f>'Bracket Raw'!P3</f>
        <v/>
      </c>
      <c r="E17" s="19"/>
      <c r="P17" s="39" t="str">
        <f>'Bracket Raw'!P7</f>
        <v/>
      </c>
      <c r="Q17" s="16"/>
      <c r="S17" s="46" t="str">
        <f ca="1">IF($N$1&lt;&gt;"",IF($N$1="Bracket Matrix",OFFSET(Seeds!$C$1,MATCH($Q$30,Seeds!$B$2:$B$73,0) + Bracket!S18-1,0),OFFSET(Seeds!$D$1,MATCH($Q$30,Seeds!$B$2:$B$73,0) + Bracket!S18-1,0)),"")</f>
        <v>Indiana</v>
      </c>
    </row>
    <row r="18" spans="1:19" x14ac:dyDescent="0.3">
      <c r="A18" s="7">
        <v>5</v>
      </c>
      <c r="D18" s="19"/>
      <c r="E18" s="19"/>
      <c r="P18" s="16"/>
      <c r="Q18" s="16"/>
      <c r="R18" s="8"/>
      <c r="S18" s="9">
        <v>5</v>
      </c>
    </row>
    <row r="19" spans="1:19" x14ac:dyDescent="0.3">
      <c r="A19" s="33">
        <f ca="1">'Bracket Raw'!D7</f>
        <v>0.77586669095548011</v>
      </c>
      <c r="B19" s="10" t="s">
        <v>61</v>
      </c>
      <c r="D19" s="19"/>
      <c r="E19" s="19"/>
      <c r="P19" s="16"/>
      <c r="Q19" s="16"/>
      <c r="R19" s="40" t="s">
        <v>65</v>
      </c>
      <c r="S19" s="35">
        <f ca="1">'Bracket Raw'!D39</f>
        <v>0.80028796609358632</v>
      </c>
    </row>
    <row r="20" spans="1:19" x14ac:dyDescent="0.3">
      <c r="A20" s="33">
        <f ca="1">'Bracket Raw'!D8</f>
        <v>0.22413330904451989</v>
      </c>
      <c r="B20" s="3">
        <f ca="1">IF(B19="","",IF(B19=A17,A18,A22))</f>
        <v>5</v>
      </c>
      <c r="C20" s="13"/>
      <c r="D20" s="19"/>
      <c r="E20" s="19"/>
      <c r="P20" s="16"/>
      <c r="Q20" s="16"/>
      <c r="R20" s="14">
        <f ca="1">IF(R19="","",IF(R19=S17,S18,S22))</f>
        <v>5</v>
      </c>
      <c r="S20" s="35">
        <f ca="1">'Bracket Raw'!D40</f>
        <v>0.19971203390641368</v>
      </c>
    </row>
    <row r="21" spans="1:19" x14ac:dyDescent="0.3">
      <c r="A21" s="54" t="str">
        <f ca="1">IF($N$1&lt;&gt;"",IF($N$1="Bracket Matrix",OFFSET(Seeds!$C$1,MATCH($C$30,Seeds!$B$2:$B$73,0) + Bracket!A22-1,0),OFFSET(Seeds!$D$1,MATCH($C$30,Seeds!$B$2:$B$73,0) + Bracket!A22-1,0)),"")</f>
        <v>South Dakota St</v>
      </c>
      <c r="B21" s="34">
        <f ca="1">'Bracket Raw'!H5</f>
        <v>0.72253117122044819</v>
      </c>
      <c r="C21" s="35" t="str">
        <f>'Bracket Raw'!L4</f>
        <v/>
      </c>
      <c r="D21" s="19"/>
      <c r="E21" s="19"/>
      <c r="P21" s="16"/>
      <c r="Q21" s="39" t="str">
        <f>'Bracket Raw'!L12</f>
        <v/>
      </c>
      <c r="R21" s="38">
        <f ca="1">'Bracket Raw'!H21</f>
        <v>0.4136733353031119</v>
      </c>
      <c r="S21" s="46" t="str">
        <f ca="1">IF($N$1&lt;&gt;"",IF($N$1="Bracket Matrix",OFFSET(Seeds!$C$1,MATCH($Q$30,Seeds!$B$2:$B$73,0) + Bracket!S22-1,0),OFFSET(Seeds!$D$1,MATCH($Q$30,Seeds!$B$2:$B$73,0) + Bracket!S22-1,0)),"")</f>
        <v>Chattanooga</v>
      </c>
    </row>
    <row r="22" spans="1:19" x14ac:dyDescent="0.3">
      <c r="A22" s="3">
        <v>12</v>
      </c>
      <c r="C22" s="10"/>
      <c r="D22" s="19"/>
      <c r="E22" s="19"/>
      <c r="P22" s="16"/>
      <c r="Q22" s="21"/>
      <c r="R22" s="16"/>
      <c r="S22" s="17">
        <v>12</v>
      </c>
    </row>
    <row r="23" spans="1:19" x14ac:dyDescent="0.3">
      <c r="A23" s="3"/>
      <c r="C23" s="22" t="str">
        <f>IF(C22=B19,B20,IF(C22=B26,B27,""))</f>
        <v/>
      </c>
      <c r="E23" s="19"/>
      <c r="P23" s="16"/>
      <c r="Q23" s="23" t="str">
        <f>IF(Q22=R19,R20,IF(Q22=R26,R27,""))</f>
        <v/>
      </c>
      <c r="R23" s="16"/>
      <c r="S23" s="17"/>
    </row>
    <row r="24" spans="1:19" x14ac:dyDescent="0.3">
      <c r="A24" s="53" t="str">
        <f ca="1">IF($N$1&lt;&gt;"",IF($N$1="Bracket Matrix",OFFSET(Seeds!$C$1,MATCH($C$30,Seeds!$B$2:$B$73,0) + Bracket!A25-1,0),OFFSET(Seeds!$D$1,MATCH($C$30,Seeds!$B$2:$B$73,0) + Bracket!A25-1,0)),"")</f>
        <v>Cal</v>
      </c>
      <c r="C24" s="13"/>
      <c r="E24" s="19"/>
      <c r="P24" s="16"/>
      <c r="R24" s="16"/>
      <c r="S24" s="46" t="str">
        <f ca="1">IF($N$1&lt;&gt;"",IF($N$1="Bracket Matrix",OFFSET(Seeds!$C$1,MATCH($Q$30,Seeds!$B$2:$B$73,0) + Bracket!S25-1,0),OFFSET(Seeds!$D$1,MATCH($Q$30,Seeds!$B$2:$B$73,0) + Bracket!S25-1,0)),"")</f>
        <v>Kentucky</v>
      </c>
    </row>
    <row r="25" spans="1:19" x14ac:dyDescent="0.3">
      <c r="A25" s="7">
        <v>4</v>
      </c>
      <c r="B25" s="34">
        <f ca="1">'Bracket Raw'!H6</f>
        <v>0.27746882877955181</v>
      </c>
      <c r="C25" s="13"/>
      <c r="E25" s="19"/>
      <c r="P25" s="16"/>
      <c r="R25" s="38">
        <f ca="1">'Bracket Raw'!H22</f>
        <v>0.5863266646968881</v>
      </c>
      <c r="S25" s="9">
        <v>4</v>
      </c>
    </row>
    <row r="26" spans="1:19" x14ac:dyDescent="0.3">
      <c r="A26" s="33">
        <f ca="1">'Bracket Raw'!D9</f>
        <v>0.65062844267633291</v>
      </c>
      <c r="B26" s="10" t="s">
        <v>113</v>
      </c>
      <c r="C26" s="13"/>
      <c r="E26" s="19"/>
      <c r="P26" s="16"/>
      <c r="R26" s="41" t="s">
        <v>25</v>
      </c>
      <c r="S26" s="35">
        <f ca="1">'Bracket Raw'!D41</f>
        <v>0.85754529805634006</v>
      </c>
    </row>
    <row r="27" spans="1:19" x14ac:dyDescent="0.3">
      <c r="A27" s="33">
        <f ca="1">'Bracket Raw'!D10</f>
        <v>0.34937155732366709</v>
      </c>
      <c r="B27" s="3">
        <f ca="1">IF(B26="","",IF(B26=A24,A25,A29))</f>
        <v>13</v>
      </c>
      <c r="E27" s="19"/>
      <c r="P27" s="16"/>
      <c r="R27" s="20">
        <f ca="1">IF(R26="","",IF(R26=S24,S25,S29))</f>
        <v>4</v>
      </c>
      <c r="S27" s="35">
        <f ca="1">'Bracket Raw'!D42</f>
        <v>0.14245470194365994</v>
      </c>
    </row>
    <row r="28" spans="1:19" x14ac:dyDescent="0.3">
      <c r="A28" s="54" t="str">
        <f ca="1">IF($N$1&lt;&gt;"",IF($N$1="Bracket Matrix",OFFSET(Seeds!$C$1,MATCH($C$30,Seeds!$B$2:$B$73,0) + Bracket!A29-1,0),OFFSET(Seeds!$D$1,MATCH($C$30,Seeds!$B$2:$B$73,0) + Bracket!A29-1,0)),"")</f>
        <v>Hawaii</v>
      </c>
      <c r="E28" s="19"/>
      <c r="P28" s="16"/>
      <c r="R28" s="8"/>
      <c r="S28" s="46" t="str">
        <f ca="1">IF($N$1&lt;&gt;"",IF($N$1="Bracket Matrix",OFFSET(Seeds!$C$1,MATCH($Q$30,Seeds!$B$2:$B$73,0) + Bracket!S29-1,0),OFFSET(Seeds!$D$1,MATCH($Q$30,Seeds!$B$2:$B$73,0) + Bracket!S29-1,0)),"")</f>
        <v>Stony Brook</v>
      </c>
    </row>
    <row r="29" spans="1:19" x14ac:dyDescent="0.3">
      <c r="A29" s="3">
        <v>13</v>
      </c>
      <c r="E29" s="19"/>
      <c r="P29" s="16"/>
      <c r="S29" s="17">
        <v>13</v>
      </c>
    </row>
    <row r="30" spans="1:19" x14ac:dyDescent="0.3">
      <c r="A30" s="3"/>
      <c r="C30" s="25" t="s">
        <v>10</v>
      </c>
      <c r="E30" s="86"/>
      <c r="F30" s="87"/>
      <c r="N30" s="75"/>
      <c r="O30" s="76"/>
      <c r="P30" s="16"/>
      <c r="Q30" s="17" t="s">
        <v>35</v>
      </c>
      <c r="S30" s="17"/>
    </row>
    <row r="31" spans="1:19" x14ac:dyDescent="0.3">
      <c r="A31" s="53" t="str">
        <f ca="1">IF($N$1&lt;&gt;"",IF($N$1="Bracket Matrix",OFFSET(Seeds!$C$1,MATCH($C$30,Seeds!$B$2:$B$73,0) + Bracket!A32-1,0),OFFSET(Seeds!$D$1,MATCH($C$30,Seeds!$B$2:$B$73,0) + Bracket!A32-1,0)),"")</f>
        <v>Arizona</v>
      </c>
      <c r="E31" s="73" t="str">
        <f>IF(E30=D15,D16,IF(E30=D43,D44,""))</f>
        <v/>
      </c>
      <c r="F31" s="88"/>
      <c r="G31" s="19"/>
      <c r="N31" s="77" t="str">
        <f>IF(N30=P15,P16,IF(N30=P43,P44,""))</f>
        <v/>
      </c>
      <c r="O31" s="78"/>
      <c r="P31" s="16"/>
      <c r="S31" s="46" t="str">
        <f ca="1">IF($N$1&lt;&gt;"",IF($N$1="Bracket Matrix",OFFSET(Seeds!$C$1,MATCH($Q$30,Seeds!$B$2:$B$73,0) + Bracket!S32-1,0),OFFSET(Seeds!$D$1,MATCH($Q$30,Seeds!$B$2:$B$73,0) + Bracket!S32-1,0)),"")</f>
        <v>Notre Dame</v>
      </c>
    </row>
    <row r="32" spans="1:19" x14ac:dyDescent="0.3">
      <c r="A32" s="7">
        <v>6</v>
      </c>
      <c r="E32" s="19"/>
      <c r="F32" s="37" t="str">
        <f>'Bracket Raw'!T3</f>
        <v/>
      </c>
      <c r="G32" s="19"/>
      <c r="N32" s="36" t="str">
        <f>'Bracket Raw'!T5</f>
        <v/>
      </c>
      <c r="P32" s="16"/>
      <c r="R32" s="8"/>
      <c r="S32" s="9">
        <v>6</v>
      </c>
    </row>
    <row r="33" spans="1:19" x14ac:dyDescent="0.3">
      <c r="A33" s="33">
        <f ca="1">'Bracket Raw'!D11</f>
        <v>0.50832009018163249</v>
      </c>
      <c r="B33" s="10" t="s">
        <v>368</v>
      </c>
      <c r="E33" s="19"/>
      <c r="G33" s="19"/>
      <c r="N33" s="19"/>
      <c r="P33" s="16"/>
      <c r="R33" s="12" t="s">
        <v>51</v>
      </c>
      <c r="S33" s="35">
        <f ca="1">'Bracket Raw'!D43</f>
        <v>0.54316802014274912</v>
      </c>
    </row>
    <row r="34" spans="1:19" x14ac:dyDescent="0.3">
      <c r="A34" s="33">
        <f ca="1">'Bracket Raw'!D12</f>
        <v>0.49167990981836751</v>
      </c>
      <c r="B34" s="3">
        <f ca="1">IF(B33="","",IF(B33=A31,A32,A36))</f>
        <v>11</v>
      </c>
      <c r="C34" s="13"/>
      <c r="E34" s="19"/>
      <c r="G34" s="19"/>
      <c r="N34" s="19"/>
      <c r="P34" s="16"/>
      <c r="R34" s="14">
        <f ca="1">IF(R33="","",IF(R33=S31,S32,S36))</f>
        <v>6</v>
      </c>
      <c r="S34" s="35">
        <f ca="1">'Bracket Raw'!D44</f>
        <v>0.45683197985725088</v>
      </c>
    </row>
    <row r="35" spans="1:19" x14ac:dyDescent="0.3">
      <c r="A35" s="54" t="str">
        <f>O5</f>
        <v>Wichita St</v>
      </c>
      <c r="B35" s="34">
        <f ca="1">'Bracket Raw'!H7</f>
        <v>0.49931330493575726</v>
      </c>
      <c r="C35" s="13"/>
      <c r="E35" s="19"/>
      <c r="G35" s="19"/>
      <c r="N35" s="19"/>
      <c r="P35" s="16"/>
      <c r="R35" s="38">
        <f ca="1">'Bracket Raw'!H23</f>
        <v>0.55379912875813708</v>
      </c>
      <c r="S35" s="46" t="str">
        <f>L5</f>
        <v>Michigan</v>
      </c>
    </row>
    <row r="36" spans="1:19" x14ac:dyDescent="0.3">
      <c r="A36" s="3">
        <v>11</v>
      </c>
      <c r="C36" s="10"/>
      <c r="E36" s="19"/>
      <c r="G36" s="19"/>
      <c r="N36" s="19"/>
      <c r="P36" s="16"/>
      <c r="Q36" s="6"/>
      <c r="R36" s="16"/>
      <c r="S36" s="17">
        <v>11</v>
      </c>
    </row>
    <row r="37" spans="1:19" x14ac:dyDescent="0.3">
      <c r="A37" s="3"/>
      <c r="C37" s="18" t="str">
        <f>IF(C36=B33,B34,IF(C36=B40,B41,""))</f>
        <v/>
      </c>
      <c r="D37" s="19"/>
      <c r="E37" s="19"/>
      <c r="G37" s="19"/>
      <c r="N37" s="19"/>
      <c r="P37" s="16"/>
      <c r="Q37" s="14" t="str">
        <f>IF(Q36=R33,R34,IF(Q36=R40,R41,""))</f>
        <v/>
      </c>
      <c r="R37" s="16"/>
      <c r="S37" s="17"/>
    </row>
    <row r="38" spans="1:19" x14ac:dyDescent="0.3">
      <c r="A38" s="53" t="str">
        <f ca="1">IF($N$1&lt;&gt;"",IF($N$1="Bracket Matrix",OFFSET(Seeds!$C$1,MATCH($C$30,Seeds!$B$2:$B$73,0) + Bracket!A39-1,0),OFFSET(Seeds!$D$1,MATCH($C$30,Seeds!$B$2:$B$73,0) + Bracket!A39-1,0)),"")</f>
        <v>Miami</v>
      </c>
      <c r="C38" s="35" t="str">
        <f>'Bracket Raw'!L5</f>
        <v/>
      </c>
      <c r="D38" s="19"/>
      <c r="E38" s="19"/>
      <c r="G38" s="19"/>
      <c r="N38" s="19"/>
      <c r="P38" s="16"/>
      <c r="Q38" s="39" t="str">
        <f>'Bracket Raw'!L13</f>
        <v/>
      </c>
      <c r="R38" s="16"/>
      <c r="S38" s="46" t="str">
        <f ca="1">IF($N$1&lt;&gt;"",IF($N$1="Bracket Matrix",OFFSET(Seeds!$C$1,MATCH($Q$30,Seeds!$B$2:$B$73,0) + Bracket!S39-1,0),OFFSET(Seeds!$D$1,MATCH($Q$30,Seeds!$B$2:$B$73,0) + Bracket!S39-1,0)),"")</f>
        <v>West Virginia</v>
      </c>
    </row>
    <row r="39" spans="1:19" x14ac:dyDescent="0.3">
      <c r="A39" s="7">
        <v>3</v>
      </c>
      <c r="B39" s="34">
        <f ca="1">'Bracket Raw'!H8</f>
        <v>0.50068669506424279</v>
      </c>
      <c r="C39" s="13"/>
      <c r="D39" s="19"/>
      <c r="E39" s="19"/>
      <c r="G39" s="19"/>
      <c r="N39" s="19"/>
      <c r="P39" s="16"/>
      <c r="Q39" s="16"/>
      <c r="R39" s="38">
        <f ca="1">'Bracket Raw'!H24</f>
        <v>0.44620087124186292</v>
      </c>
      <c r="S39" s="9">
        <v>3</v>
      </c>
    </row>
    <row r="40" spans="1:19" x14ac:dyDescent="0.3">
      <c r="A40" s="33">
        <f ca="1">'Bracket Raw'!D13</f>
        <v>0.88480288203369217</v>
      </c>
      <c r="B40" s="10" t="s">
        <v>330</v>
      </c>
      <c r="C40" s="13"/>
      <c r="D40" s="19"/>
      <c r="E40" s="19"/>
      <c r="G40" s="19"/>
      <c r="N40" s="19"/>
      <c r="P40" s="16"/>
      <c r="Q40" s="16"/>
      <c r="R40" s="24" t="s">
        <v>7</v>
      </c>
      <c r="S40" s="35">
        <f ca="1">'Bracket Raw'!D45</f>
        <v>0.63085103728779257</v>
      </c>
    </row>
    <row r="41" spans="1:19" x14ac:dyDescent="0.3">
      <c r="A41" s="33">
        <f ca="1">'Bracket Raw'!D14</f>
        <v>0.11519711796630783</v>
      </c>
      <c r="B41" s="3">
        <f ca="1">IF(B40="","",IF(B40=A38,A39,A43))</f>
        <v>3</v>
      </c>
      <c r="D41" s="19"/>
      <c r="E41" s="19"/>
      <c r="G41" s="19"/>
      <c r="N41" s="19"/>
      <c r="P41" s="16"/>
      <c r="Q41" s="16"/>
      <c r="R41" s="20">
        <f ca="1">IF(R40="","",IF(R40=S38,S39,S43))</f>
        <v>14</v>
      </c>
      <c r="S41" s="35">
        <f ca="1">'Bracket Raw'!D46</f>
        <v>0.36914896271220743</v>
      </c>
    </row>
    <row r="42" spans="1:19" x14ac:dyDescent="0.3">
      <c r="A42" s="54" t="str">
        <f ca="1">IF($N$1&lt;&gt;"",IF($N$1="Bracket Matrix",OFFSET(Seeds!$C$1,MATCH($C$30,Seeds!$B$2:$B$73,0) + Bracket!A43-1,0),OFFSET(Seeds!$D$1,MATCH($C$30,Seeds!$B$2:$B$73,0) + Bracket!A43-1,0)),"")</f>
        <v>Buffalo</v>
      </c>
      <c r="D42" s="36" t="str">
        <f>'Bracket Raw'!P4</f>
        <v/>
      </c>
      <c r="E42" s="19"/>
      <c r="G42" s="19"/>
      <c r="N42" s="19"/>
      <c r="P42" s="39" t="str">
        <f>'Bracket Raw'!P8</f>
        <v/>
      </c>
      <c r="Q42" s="16"/>
      <c r="R42" s="8"/>
      <c r="S42" s="46" t="str">
        <f ca="1">IF($N$1&lt;&gt;"",IF($N$1="Bracket Matrix",OFFSET(Seeds!$C$1,MATCH($Q$30,Seeds!$B$2:$B$73,0) + Bracket!S43-1,0),OFFSET(Seeds!$D$1,MATCH($Q$30,Seeds!$B$2:$B$73,0) + Bracket!S43-1,0)),"")</f>
        <v>SF Austin</v>
      </c>
    </row>
    <row r="43" spans="1:19" x14ac:dyDescent="0.3">
      <c r="A43" s="3">
        <v>14</v>
      </c>
      <c r="D43" s="11"/>
      <c r="E43" s="19"/>
      <c r="G43" s="19"/>
      <c r="L43" s="43"/>
      <c r="N43" s="19"/>
      <c r="P43" s="21"/>
      <c r="Q43" s="16"/>
      <c r="S43" s="17">
        <v>14</v>
      </c>
    </row>
    <row r="44" spans="1:19" x14ac:dyDescent="0.3">
      <c r="A44" s="3"/>
      <c r="D44" s="13" t="str">
        <f>IF(D43=C36,C37,IF(D43=C50,C51,""))</f>
        <v/>
      </c>
      <c r="G44" s="19"/>
      <c r="N44" s="19"/>
      <c r="P44" s="23" t="str">
        <f>IF(P43=Q36,Q37,IF(P43=Q50,Q51,""))</f>
        <v/>
      </c>
      <c r="Q44" s="16"/>
      <c r="S44" s="17"/>
    </row>
    <row r="45" spans="1:19" x14ac:dyDescent="0.3">
      <c r="A45" s="53" t="str">
        <f ca="1">IF($N$1&lt;&gt;"",IF($N$1="Bracket Matrix",OFFSET(Seeds!$C$1,MATCH($C$30,Seeds!$B$2:$B$73,0) + Bracket!A46-1,0),OFFSET(Seeds!$D$1,MATCH($C$30,Seeds!$B$2:$B$73,0) + Bracket!A46-1,0)),"")</f>
        <v>Iowa</v>
      </c>
      <c r="D45" s="19"/>
      <c r="G45" s="19"/>
      <c r="N45" s="19"/>
      <c r="Q45" s="16"/>
      <c r="S45" s="46" t="str">
        <f ca="1">IF($N$1&lt;&gt;"",IF($N$1="Bracket Matrix",OFFSET(Seeds!$C$1,MATCH($Q$30,Seeds!$B$2:$B$73,0) + Bracket!S46-1,0),OFFSET(Seeds!$D$1,MATCH($Q$30,Seeds!$B$2:$B$73,0) + Bracket!S46-1,0)),"")</f>
        <v>Wisconsin</v>
      </c>
    </row>
    <row r="46" spans="1:19" x14ac:dyDescent="0.3">
      <c r="A46" s="7">
        <v>7</v>
      </c>
      <c r="D46" s="19"/>
      <c r="G46" s="19"/>
      <c r="N46" s="19"/>
      <c r="Q46" s="16"/>
      <c r="R46" s="8"/>
      <c r="S46" s="9">
        <v>7</v>
      </c>
    </row>
    <row r="47" spans="1:19" x14ac:dyDescent="0.3">
      <c r="A47" s="33">
        <f ca="1">'Bracket Raw'!D15</f>
        <v>0.6718096362581828</v>
      </c>
      <c r="B47" s="10" t="s">
        <v>57</v>
      </c>
      <c r="D47" s="19"/>
      <c r="G47" s="19"/>
      <c r="N47" s="19"/>
      <c r="Q47" s="16"/>
      <c r="R47" s="12" t="s">
        <v>11</v>
      </c>
      <c r="S47" s="35">
        <f ca="1">'Bracket Raw'!D47</f>
        <v>0.51982780961932595</v>
      </c>
    </row>
    <row r="48" spans="1:19" x14ac:dyDescent="0.3">
      <c r="A48" s="33">
        <f ca="1">'Bracket Raw'!D16</f>
        <v>0.3281903637418172</v>
      </c>
      <c r="B48" s="3">
        <f ca="1">IF(B47="","",IF(B47=A45,A46,A50))</f>
        <v>7</v>
      </c>
      <c r="C48" s="13"/>
      <c r="D48" s="19"/>
      <c r="G48" s="19"/>
      <c r="N48" s="19"/>
      <c r="Q48" s="16"/>
      <c r="R48" s="14">
        <f ca="1">IF(R47="","",IF(R47=S45,S46,S50))</f>
        <v>7</v>
      </c>
      <c r="S48" s="35">
        <f ca="1">'Bracket Raw'!D48</f>
        <v>0.48017219038067405</v>
      </c>
    </row>
    <row r="49" spans="1:19" x14ac:dyDescent="0.3">
      <c r="A49" s="54" t="str">
        <f ca="1">IF($N$1&lt;&gt;"",IF($N$1="Bracket Matrix",OFFSET(Seeds!$C$1,MATCH($C$30,Seeds!$B$2:$B$73,0) + Bracket!A50-1,0),OFFSET(Seeds!$D$1,MATCH($C$30,Seeds!$B$2:$B$73,0) + Bracket!A50-1,0)),"")</f>
        <v>Temple</v>
      </c>
      <c r="B49" s="34">
        <f ca="1">'Bracket Raw'!H9</f>
        <v>0.34884295925439002</v>
      </c>
      <c r="C49" s="35" t="str">
        <f>'Bracket Raw'!L6</f>
        <v/>
      </c>
      <c r="D49" s="19"/>
      <c r="G49" s="19"/>
      <c r="N49" s="19"/>
      <c r="Q49" s="39" t="str">
        <f>'Bracket Raw'!L14</f>
        <v/>
      </c>
      <c r="R49" s="38">
        <f ca="1">'Bracket Raw'!H25</f>
        <v>0.45881229584904171</v>
      </c>
      <c r="S49" s="46" t="str">
        <f ca="1">IF($N$1&lt;&gt;"",IF($N$1="Bracket Matrix",OFFSET(Seeds!$C$1,MATCH($Q$30,Seeds!$B$2:$B$73,0) + Bracket!S50-1,0),OFFSET(Seeds!$D$1,MATCH($Q$30,Seeds!$B$2:$B$73,0) + Bracket!S50-1,0)),"")</f>
        <v>Pitt</v>
      </c>
    </row>
    <row r="50" spans="1:19" x14ac:dyDescent="0.3">
      <c r="A50" s="3">
        <v>10</v>
      </c>
      <c r="C50" s="10"/>
      <c r="D50" s="19"/>
      <c r="G50" s="19"/>
      <c r="N50" s="19"/>
      <c r="Q50" s="21"/>
      <c r="R50" s="16"/>
      <c r="S50" s="17">
        <v>10</v>
      </c>
    </row>
    <row r="51" spans="1:19" x14ac:dyDescent="0.3">
      <c r="A51" s="3"/>
      <c r="C51" s="22" t="str">
        <f>IF(C50=B47,B48,IF(C50=B54,B55,""))</f>
        <v/>
      </c>
      <c r="G51" s="19"/>
      <c r="N51" s="19"/>
      <c r="Q51" s="23" t="str">
        <f>IF(Q50=R47,R48,IF(Q50=R54,R55,""))</f>
        <v/>
      </c>
      <c r="R51" s="16"/>
      <c r="S51" s="17"/>
    </row>
    <row r="52" spans="1:19" x14ac:dyDescent="0.3">
      <c r="A52" s="53" t="str">
        <f ca="1">IF($N$1&lt;&gt;"",IF($N$1="Bracket Matrix",OFFSET(Seeds!$C$1,MATCH($C$30,Seeds!$B$2:$B$73,0) + Bracket!A53-1,0),OFFSET(Seeds!$D$1,MATCH($C$30,Seeds!$B$2:$B$73,0) + Bracket!A53-1,0)),"")</f>
        <v>Villanova</v>
      </c>
      <c r="C52" s="13"/>
      <c r="G52" s="19"/>
      <c r="N52" s="19"/>
      <c r="R52" s="16"/>
      <c r="S52" s="46" t="str">
        <f ca="1">IF($N$1&lt;&gt;"",IF($N$1="Bracket Matrix",OFFSET(Seeds!$C$1,MATCH($Q$30,Seeds!$B$2:$B$73,0) + Bracket!S53-1,0),OFFSET(Seeds!$D$1,MATCH($Q$30,Seeds!$B$2:$B$73,0) + Bracket!S53-1,0)),"")</f>
        <v>Xavier</v>
      </c>
    </row>
    <row r="53" spans="1:19" x14ac:dyDescent="0.3">
      <c r="A53" s="7">
        <v>2</v>
      </c>
      <c r="B53" s="34">
        <f ca="1">'Bracket Raw'!H10</f>
        <v>0.65115704074560998</v>
      </c>
      <c r="C53" s="13"/>
      <c r="G53" s="19"/>
      <c r="N53" s="19"/>
      <c r="R53" s="38">
        <f ca="1">'Bracket Raw'!H26</f>
        <v>0.54118770415095829</v>
      </c>
      <c r="S53" s="9">
        <v>2</v>
      </c>
    </row>
    <row r="54" spans="1:19" x14ac:dyDescent="0.3">
      <c r="A54" s="33">
        <f ca="1">'Bracket Raw'!D17</f>
        <v>0.9360248386973874</v>
      </c>
      <c r="B54" s="10" t="s">
        <v>45</v>
      </c>
      <c r="C54" s="13"/>
      <c r="G54" s="19"/>
      <c r="N54" s="19"/>
      <c r="R54" s="24" t="s">
        <v>55</v>
      </c>
      <c r="S54" s="35">
        <f ca="1">'Bracket Raw'!D49</f>
        <v>0.83481672433214871</v>
      </c>
    </row>
    <row r="55" spans="1:19" x14ac:dyDescent="0.3">
      <c r="A55" s="33">
        <f ca="1">'Bracket Raw'!D18</f>
        <v>6.3975161302612604E-2</v>
      </c>
      <c r="B55" s="3">
        <f ca="1">IF(B54="","",IF(B54=A52,A53,A57))</f>
        <v>2</v>
      </c>
      <c r="G55" s="19"/>
      <c r="N55" s="19"/>
      <c r="R55" s="20">
        <f ca="1">IF(R54="","",IF(R54=S52,S53,S57))</f>
        <v>2</v>
      </c>
      <c r="S55" s="35">
        <f ca="1">'Bracket Raw'!D50</f>
        <v>0.16518327566785129</v>
      </c>
    </row>
    <row r="56" spans="1:19" x14ac:dyDescent="0.3">
      <c r="A56" s="54" t="str">
        <f ca="1">IF($N$1&lt;&gt;"",IF($N$1="Bracket Matrix",OFFSET(Seeds!$C$1,MATCH($C$30,Seeds!$B$2:$B$73,0) + Bracket!A57-1,0),OFFSET(Seeds!$D$1,MATCH($C$30,Seeds!$B$2:$B$73,0) + Bracket!A57-1,0)),"")</f>
        <v>UNC Asheville</v>
      </c>
      <c r="G56" s="19"/>
      <c r="N56" s="19"/>
      <c r="R56" s="8"/>
      <c r="S56" s="46" t="str">
        <f ca="1">IF($N$1&lt;&gt;"",IF($N$1="Bracket Matrix",OFFSET(Seeds!$C$1,MATCH($Q$30,Seeds!$B$2:$B$73,0) + Bracket!S57-1,0),OFFSET(Seeds!$D$1,MATCH($Q$30,Seeds!$B$2:$B$73,0) + Bracket!S57-1,0)),"")</f>
        <v>Weber State</v>
      </c>
    </row>
    <row r="57" spans="1:19" x14ac:dyDescent="0.3">
      <c r="A57" s="3">
        <v>15</v>
      </c>
      <c r="G57" s="19"/>
      <c r="I57" s="27"/>
      <c r="J57" s="28"/>
      <c r="K57" s="29"/>
      <c r="N57" s="19"/>
      <c r="S57" s="17">
        <v>15</v>
      </c>
    </row>
    <row r="58" spans="1:19" x14ac:dyDescent="0.3">
      <c r="A58" s="3"/>
      <c r="G58" s="81"/>
      <c r="H58" s="82"/>
      <c r="I58" s="83"/>
      <c r="J58" s="84"/>
      <c r="K58" s="85"/>
      <c r="L58" s="81"/>
      <c r="M58" s="82"/>
      <c r="N58" s="19"/>
      <c r="S58" s="17"/>
    </row>
    <row r="59" spans="1:19" x14ac:dyDescent="0.3">
      <c r="A59" s="53" t="str">
        <f ca="1">IF($N$1&lt;&gt;"",IF($N$1="Bracket Matrix",OFFSET(Seeds!$C$1,MATCH($C$86,Seeds!$B$2:$B$73,0) + Bracket!A60-1,0),OFFSET(Seeds!$D$1,MATCH($C$86,Seeds!$B$2:$B$73,0) + Bracket!A60-1,0)),"")</f>
        <v>Oregon</v>
      </c>
      <c r="G59" s="13" t="str">
        <f>IF(G58&lt;&gt;"",IF(G58=E30,C30,IF(G58=E86,C86,"")),"")</f>
        <v/>
      </c>
      <c r="H59" s="5" t="str">
        <f>IF(G58=E30,E31,IF(G58=E86,E87,""))</f>
        <v/>
      </c>
      <c r="I59" s="11"/>
      <c r="J59" s="30"/>
      <c r="K59" s="31"/>
      <c r="L59" s="3" t="str">
        <f>IF(L58&lt;&gt;"",IF(L58=N30,Q30,IF(L58=N86,Q86,"")),"")</f>
        <v/>
      </c>
      <c r="M59" s="5" t="str">
        <f>IF(L58=N30,N31,IF(L58=N86,N87,""))</f>
        <v/>
      </c>
      <c r="N59" s="19"/>
      <c r="S59" s="46" t="str">
        <f ca="1">IF($N$1&lt;&gt;"",IF($N$1="Bracket Matrix",OFFSET(Seeds!$C$1,MATCH($Q$86,Seeds!$B$2:$B$73,0) + Bracket!S60-1,0),OFFSET(Seeds!$D$1,MATCH($Q$86,Seeds!$B$2:$B$73,0) + Bracket!S60-1,0)),"")</f>
        <v>Virginia</v>
      </c>
    </row>
    <row r="60" spans="1:19" x14ac:dyDescent="0.3">
      <c r="A60" s="7">
        <v>1</v>
      </c>
      <c r="G60" s="19"/>
      <c r="H60" s="37" t="str">
        <f>'Bracket Raw'!X3</f>
        <v/>
      </c>
      <c r="L60" s="37" t="str">
        <f>'Bracket Raw'!X4</f>
        <v/>
      </c>
      <c r="N60" s="19"/>
      <c r="R60" s="8"/>
      <c r="S60" s="9">
        <v>1</v>
      </c>
    </row>
    <row r="61" spans="1:19" x14ac:dyDescent="0.3">
      <c r="A61" s="33">
        <f ca="1">'Bracket Raw'!D19</f>
        <v>0.99990000000000001</v>
      </c>
      <c r="B61" s="10" t="s">
        <v>19</v>
      </c>
      <c r="G61" s="19"/>
      <c r="N61" s="19"/>
      <c r="R61" s="12" t="s">
        <v>26</v>
      </c>
      <c r="S61" s="35">
        <f ca="1">'Bracket Raw'!D51</f>
        <v>0.99990000000000001</v>
      </c>
    </row>
    <row r="62" spans="1:19" x14ac:dyDescent="0.3">
      <c r="A62" s="33">
        <f ca="1">'Bracket Raw'!D20</f>
        <v>9.9999999999988987E-5</v>
      </c>
      <c r="B62" s="3">
        <f ca="1">IF(B61="","",IF(B61=A59,A60,A64))</f>
        <v>1</v>
      </c>
      <c r="C62" s="13"/>
      <c r="G62" s="19"/>
      <c r="N62" s="19"/>
      <c r="R62" s="14">
        <f ca="1">IF(R61="","",IF(R61=S59,S60,S64))</f>
        <v>1</v>
      </c>
      <c r="S62" s="35">
        <f ca="1">'Bracket Raw'!D52</f>
        <v>9.9999999999988987E-5</v>
      </c>
    </row>
    <row r="63" spans="1:19" x14ac:dyDescent="0.3">
      <c r="A63" s="1" t="str">
        <f>I5</f>
        <v>Holy Cross</v>
      </c>
      <c r="B63" s="34">
        <f ca="1">'Bracket Raw'!H11</f>
        <v>0.57783985492193979</v>
      </c>
      <c r="C63" s="13"/>
      <c r="G63" s="19"/>
      <c r="N63" s="19"/>
      <c r="R63" s="38">
        <f ca="1">'Bracket Raw'!H27</f>
        <v>0.7020169124629273</v>
      </c>
      <c r="S63" s="23" t="str">
        <f ca="1">IF($N$1&lt;&gt;"",IF($N$1="Bracket Matrix",OFFSET(Seeds!$C$1,MATCH($Q$86,Seeds!$B$2:$B$73,0) + Bracket!S64-1,0),OFFSET(Seeds!$D$1,MATCH($Q$86,Seeds!$B$2:$B$73,0) + Bracket!S64-1,0)),"")</f>
        <v>Hampton</v>
      </c>
    </row>
    <row r="64" spans="1:19" x14ac:dyDescent="0.3">
      <c r="A64" s="3">
        <v>16</v>
      </c>
      <c r="C64" s="10"/>
      <c r="G64" s="19"/>
      <c r="N64" s="19"/>
      <c r="Q64" s="6"/>
      <c r="R64" s="39"/>
      <c r="S64" s="9">
        <v>16</v>
      </c>
    </row>
    <row r="65" spans="1:19" x14ac:dyDescent="0.3">
      <c r="A65" s="3"/>
      <c r="C65" s="18" t="str">
        <f>IF(C64=B61,B62,IF(C64=B68,B69,""))</f>
        <v/>
      </c>
      <c r="D65" s="19"/>
      <c r="G65" s="19"/>
      <c r="N65" s="19"/>
      <c r="Q65" s="14" t="str">
        <f>IF(Q64=R61,R62,IF(Q64=R68,R69,""))</f>
        <v/>
      </c>
      <c r="R65" s="16"/>
      <c r="S65" s="17"/>
    </row>
    <row r="66" spans="1:19" x14ac:dyDescent="0.3">
      <c r="A66" s="49" t="str">
        <f ca="1">IF($N$1&lt;&gt;"",IF($N$1="Bracket Matrix",OFFSET(Seeds!$C$1,MATCH($C$86,Seeds!$B$2:$B$73,0) + Bracket!A67-1,0),OFFSET(Seeds!$D$1,MATCH($C$86,Seeds!$B$2:$B$73,0) + Bracket!A67-1,0)),"")</f>
        <v>Saint Joseph's</v>
      </c>
      <c r="C66" s="35" t="str">
        <f>'Bracket Raw'!L7</f>
        <v/>
      </c>
      <c r="D66" s="19"/>
      <c r="G66" s="19"/>
      <c r="N66" s="19"/>
      <c r="Q66" s="39" t="str">
        <f>'Bracket Raw'!L15</f>
        <v/>
      </c>
      <c r="R66" s="16"/>
      <c r="S66" s="46" t="str">
        <f ca="1">IF($N$1&lt;&gt;"",IF($N$1="Bracket Matrix",OFFSET(Seeds!$C$1,MATCH($Q$86,Seeds!$B$2:$B$73,0) + Bracket!S67-1,0),OFFSET(Seeds!$D$1,MATCH($Q$86,Seeds!$B$2:$B$73,0) + Bracket!S67-1,0)),"")</f>
        <v>Texas Tech</v>
      </c>
    </row>
    <row r="67" spans="1:19" x14ac:dyDescent="0.3">
      <c r="A67" s="7">
        <v>8</v>
      </c>
      <c r="B67" s="34">
        <f ca="1">'Bracket Raw'!H12</f>
        <v>0.42216014507806021</v>
      </c>
      <c r="C67" s="13"/>
      <c r="D67" s="19"/>
      <c r="G67" s="19"/>
      <c r="N67" s="19"/>
      <c r="Q67" s="16"/>
      <c r="R67" s="38">
        <f ca="1">'Bracket Raw'!H28</f>
        <v>0.2979830875370727</v>
      </c>
      <c r="S67" s="9">
        <v>8</v>
      </c>
    </row>
    <row r="68" spans="1:19" x14ac:dyDescent="0.3">
      <c r="A68" s="33">
        <f ca="1">'Bracket Raw'!D21</f>
        <v>0.4715843900572515</v>
      </c>
      <c r="B68" s="10" t="s">
        <v>331</v>
      </c>
      <c r="C68" s="13"/>
      <c r="D68" s="19"/>
      <c r="G68" s="19"/>
      <c r="N68" s="19"/>
      <c r="Q68" s="16"/>
      <c r="R68" s="24" t="s">
        <v>56</v>
      </c>
      <c r="S68" s="35">
        <f ca="1">'Bracket Raw'!D53</f>
        <v>0.44724166141999266</v>
      </c>
    </row>
    <row r="69" spans="1:19" x14ac:dyDescent="0.3">
      <c r="A69" s="33">
        <f ca="1">'Bracket Raw'!D22</f>
        <v>0.5284156099427485</v>
      </c>
      <c r="B69" s="3">
        <f ca="1">IF(B68="","",IF(B68=A66,A67,A71))</f>
        <v>8</v>
      </c>
      <c r="D69" s="19"/>
      <c r="G69" s="19"/>
      <c r="N69" s="19"/>
      <c r="Q69" s="16"/>
      <c r="R69" s="20">
        <f ca="1">IF(R68="","",IF(R68=S66,S67,S71))</f>
        <v>9</v>
      </c>
      <c r="S69" s="35">
        <f ca="1">'Bracket Raw'!D54</f>
        <v>0.55275833858000734</v>
      </c>
    </row>
    <row r="70" spans="1:19" x14ac:dyDescent="0.3">
      <c r="A70" s="50" t="str">
        <f ca="1">IF($N$1&lt;&gt;"",IF($N$1="Bracket Matrix",OFFSET(Seeds!$C$1,MATCH($C$86,Seeds!$B$2:$B$73,0) + Bracket!A71-1,0),OFFSET(Seeds!$D$1,MATCH($C$86,Seeds!$B$2:$B$73,0) + Bracket!A71-1,0)),"")</f>
        <v>Cincinnati</v>
      </c>
      <c r="D70" s="19"/>
      <c r="G70" s="19"/>
      <c r="N70" s="19"/>
      <c r="Q70" s="16"/>
      <c r="R70" s="8"/>
      <c r="S70" s="47" t="str">
        <f ca="1">IF($N$1&lt;&gt;"",IF($N$1="Bracket Matrix",OFFSET(Seeds!$C$1,MATCH($Q$86,Seeds!$B$2:$B$73,0) + Bracket!S71-1,0),OFFSET(Seeds!$D$1,MATCH($Q$86,Seeds!$B$2:$B$73,0) + Bracket!S71-1,0)),"")</f>
        <v>Butler</v>
      </c>
    </row>
    <row r="71" spans="1:19" x14ac:dyDescent="0.3">
      <c r="A71" s="3">
        <v>9</v>
      </c>
      <c r="D71" s="11"/>
      <c r="G71" s="19"/>
      <c r="N71" s="19"/>
      <c r="P71" s="12"/>
      <c r="Q71" s="16"/>
      <c r="S71" s="17">
        <v>9</v>
      </c>
    </row>
    <row r="72" spans="1:19" x14ac:dyDescent="0.3">
      <c r="A72" s="3"/>
      <c r="D72" s="18" t="str">
        <f>IF(D71=C64,C65,IF(D71=C78,C79,""))</f>
        <v/>
      </c>
      <c r="E72" s="19"/>
      <c r="G72" s="19"/>
      <c r="N72" s="19"/>
      <c r="P72" s="32" t="str">
        <f>IF(P71=Q64,Q65,IF(P71=Q78,Q79,""))</f>
        <v/>
      </c>
      <c r="Q72" s="16"/>
      <c r="S72" s="17"/>
    </row>
    <row r="73" spans="1:19" x14ac:dyDescent="0.3">
      <c r="A73" s="49" t="str">
        <f ca="1">IF($N$1&lt;&gt;"",IF($N$1="Bracket Matrix",OFFSET(Seeds!$C$1,MATCH($C$86,Seeds!$B$2:$B$73,0) + Bracket!A74-1,0),OFFSET(Seeds!$D$1,MATCH($C$86,Seeds!$B$2:$B$73,0) + Bracket!A74-1,0)),"")</f>
        <v>Baylor</v>
      </c>
      <c r="D73" s="36" t="str">
        <f>'Bracket Raw'!P5</f>
        <v/>
      </c>
      <c r="E73" s="19"/>
      <c r="G73" s="19"/>
      <c r="N73" s="19"/>
      <c r="P73" s="39" t="str">
        <f>'Bracket Raw'!P9</f>
        <v/>
      </c>
      <c r="Q73" s="16"/>
      <c r="S73" s="46" t="str">
        <f ca="1">IF($N$1&lt;&gt;"",IF($N$1="Bracket Matrix",OFFSET(Seeds!$C$1,MATCH($Q$86,Seeds!$B$2:$B$73,0) + Bracket!S74-1,0),OFFSET(Seeds!$D$1,MATCH($Q$86,Seeds!$B$2:$B$73,0) + Bracket!S74-1,0)),"")</f>
        <v>Purdue</v>
      </c>
    </row>
    <row r="74" spans="1:19" x14ac:dyDescent="0.3">
      <c r="A74" s="7">
        <v>5</v>
      </c>
      <c r="D74" s="19"/>
      <c r="E74" s="19"/>
      <c r="G74" s="19"/>
      <c r="N74" s="19"/>
      <c r="P74" s="16"/>
      <c r="Q74" s="16"/>
      <c r="R74" s="8"/>
      <c r="S74" s="9">
        <v>5</v>
      </c>
    </row>
    <row r="75" spans="1:19" x14ac:dyDescent="0.3">
      <c r="A75" s="33">
        <f ca="1">'Bracket Raw'!D23</f>
        <v>0.56783702350052279</v>
      </c>
      <c r="B75" s="10" t="s">
        <v>84</v>
      </c>
      <c r="D75" s="19"/>
      <c r="E75" s="19"/>
      <c r="G75" s="19"/>
      <c r="N75" s="19"/>
      <c r="P75" s="16"/>
      <c r="Q75" s="16"/>
      <c r="R75" s="12" t="s">
        <v>332</v>
      </c>
      <c r="S75" s="35">
        <f ca="1">'Bracket Raw'!D55</f>
        <v>0.64655829289990219</v>
      </c>
    </row>
    <row r="76" spans="1:19" x14ac:dyDescent="0.3">
      <c r="A76" s="33">
        <f ca="1">'Bracket Raw'!D24</f>
        <v>0.43216297649947721</v>
      </c>
      <c r="B76" s="3">
        <f ca="1">IF(B75="","",IF(B75=A73,A74,A78))</f>
        <v>12</v>
      </c>
      <c r="C76" s="13"/>
      <c r="D76" s="19"/>
      <c r="E76" s="19"/>
      <c r="G76" s="19"/>
      <c r="N76" s="19"/>
      <c r="P76" s="16"/>
      <c r="Q76" s="16"/>
      <c r="R76" s="14">
        <f ca="1">IF(R75="","",IF(R75=S73,S74,S78))</f>
        <v>12</v>
      </c>
      <c r="S76" s="35">
        <f ca="1">'Bracket Raw'!D56</f>
        <v>0.35344170710009781</v>
      </c>
    </row>
    <row r="77" spans="1:19" x14ac:dyDescent="0.3">
      <c r="A77" s="50" t="str">
        <f ca="1">IF($N$1&lt;&gt;"",IF($N$1="Bracket Matrix",OFFSET(Seeds!$C$1,MATCH($C$86,Seeds!$B$2:$B$73,0) + Bracket!A78-1,0),OFFSET(Seeds!$D$1,MATCH($C$86,Seeds!$B$2:$B$73,0) + Bracket!A78-1,0)),"")</f>
        <v>Yale</v>
      </c>
      <c r="B77" s="34">
        <f ca="1">'Bracket Raw'!H13</f>
        <v>0.29924207032515093</v>
      </c>
      <c r="C77" s="35" t="str">
        <f>'Bracket Raw'!L8</f>
        <v/>
      </c>
      <c r="D77" s="19"/>
      <c r="E77" s="19"/>
      <c r="G77" s="19"/>
      <c r="N77" s="19"/>
      <c r="P77" s="16"/>
      <c r="Q77" s="39" t="str">
        <f>'Bracket Raw'!L16</f>
        <v/>
      </c>
      <c r="R77" s="38">
        <f ca="1">'Bracket Raw'!H29</f>
        <v>0.31080292500830731</v>
      </c>
      <c r="S77" s="47" t="str">
        <f ca="1">IF($N$1&lt;&gt;"",IF($N$1="Bracket Matrix",OFFSET(Seeds!$C$1,MATCH($Q$86,Seeds!$B$2:$B$73,0) + Bracket!S78-1,0),OFFSET(Seeds!$D$1,MATCH($Q$86,Seeds!$B$2:$B$73,0) + Bracket!S78-1,0)),"")</f>
        <v>AR Little Rock</v>
      </c>
    </row>
    <row r="78" spans="1:19" x14ac:dyDescent="0.3">
      <c r="A78" s="3">
        <v>12</v>
      </c>
      <c r="C78" s="10"/>
      <c r="D78" s="19"/>
      <c r="E78" s="19"/>
      <c r="G78" s="19"/>
      <c r="N78" s="19"/>
      <c r="P78" s="16"/>
      <c r="Q78" s="21"/>
      <c r="R78" s="16"/>
      <c r="S78" s="17">
        <v>12</v>
      </c>
    </row>
    <row r="79" spans="1:19" x14ac:dyDescent="0.3">
      <c r="A79" s="3"/>
      <c r="C79" s="22" t="str">
        <f>IF(C78=B75,B76,IF(C78=B82,B83,""))</f>
        <v/>
      </c>
      <c r="E79" s="19"/>
      <c r="G79" s="19"/>
      <c r="N79" s="19"/>
      <c r="P79" s="16"/>
      <c r="Q79" s="23" t="str">
        <f>IF(Q78=R75,R76,IF(Q78=R82,R83,""))</f>
        <v/>
      </c>
      <c r="R79" s="16"/>
      <c r="S79" s="17"/>
    </row>
    <row r="80" spans="1:19" x14ac:dyDescent="0.3">
      <c r="A80" s="49" t="str">
        <f ca="1">IF($N$1&lt;&gt;"",IF($N$1="Bracket Matrix",OFFSET(Seeds!$C$1,MATCH($C$86,Seeds!$B$2:$B$73,0) + Bracket!A81-1,0),OFFSET(Seeds!$D$1,MATCH($C$86,Seeds!$B$2:$B$73,0) + Bracket!A81-1,0)),"")</f>
        <v>Duke</v>
      </c>
      <c r="C80" s="13"/>
      <c r="E80" s="19"/>
      <c r="G80" s="19"/>
      <c r="N80" s="19"/>
      <c r="P80" s="16"/>
      <c r="R80" s="16"/>
      <c r="S80" s="46" t="str">
        <f ca="1">IF($N$1&lt;&gt;"",IF($N$1="Bracket Matrix",OFFSET(Seeds!$C$1,MATCH($Q$86,Seeds!$B$2:$B$73,0) + Bracket!S81-1,0),OFFSET(Seeds!$D$1,MATCH($Q$86,Seeds!$B$2:$B$73,0) + Bracket!S81-1,0)),"")</f>
        <v>Iowa State</v>
      </c>
    </row>
    <row r="81" spans="1:19" x14ac:dyDescent="0.3">
      <c r="A81" s="7">
        <v>4</v>
      </c>
      <c r="B81" s="34">
        <f ca="1">'Bracket Raw'!H14</f>
        <v>0.70075792967484907</v>
      </c>
      <c r="C81" s="13"/>
      <c r="E81" s="19"/>
      <c r="G81" s="19"/>
      <c r="K81" s="42"/>
      <c r="N81" s="19"/>
      <c r="P81" s="16"/>
      <c r="R81" s="38">
        <f ca="1">'Bracket Raw'!H30</f>
        <v>0.68919707499169269</v>
      </c>
      <c r="S81" s="9">
        <v>4</v>
      </c>
    </row>
    <row r="82" spans="1:19" x14ac:dyDescent="0.3">
      <c r="A82" s="33">
        <f ca="1">'Bracket Raw'!D25</f>
        <v>0.79521911299189463</v>
      </c>
      <c r="B82" s="10" t="s">
        <v>40</v>
      </c>
      <c r="C82" s="13"/>
      <c r="E82" s="19"/>
      <c r="G82" s="19"/>
      <c r="N82" s="19"/>
      <c r="P82" s="16"/>
      <c r="R82" s="24" t="s">
        <v>232</v>
      </c>
      <c r="S82" s="35">
        <f ca="1">'Bracket Raw'!D57</f>
        <v>0.7657113238080191</v>
      </c>
    </row>
    <row r="83" spans="1:19" x14ac:dyDescent="0.3">
      <c r="A83" s="33">
        <f ca="1">'Bracket Raw'!D26</f>
        <v>0.20478088700810537</v>
      </c>
      <c r="B83" s="3">
        <f ca="1">IF(B82="","",IF(B82=A80,A81,A85))</f>
        <v>4</v>
      </c>
      <c r="E83" s="19"/>
      <c r="G83" s="19"/>
      <c r="N83" s="19"/>
      <c r="P83" s="16"/>
      <c r="R83" s="20">
        <f ca="1">IF(R82="","",IF(R82=S80,S81,S85))</f>
        <v>4</v>
      </c>
      <c r="S83" s="35">
        <f ca="1">'Bracket Raw'!D58</f>
        <v>0.2342886761919809</v>
      </c>
    </row>
    <row r="84" spans="1:19" x14ac:dyDescent="0.3">
      <c r="A84" s="50" t="str">
        <f ca="1">IF($N$1&lt;&gt;"",IF($N$1="Bracket Matrix",OFFSET(Seeds!$C$1,MATCH($C$86,Seeds!$B$2:$B$73,0) + Bracket!A85-1,0),OFFSET(Seeds!$D$1,MATCH($C$86,Seeds!$B$2:$B$73,0) + Bracket!A85-1,0)),"")</f>
        <v>UNC Wilmington</v>
      </c>
      <c r="B84" s="3" t="s">
        <v>301</v>
      </c>
      <c r="E84" s="19"/>
      <c r="G84" s="19"/>
      <c r="N84" s="19"/>
      <c r="P84" s="16"/>
      <c r="R84" s="8"/>
      <c r="S84" s="47" t="str">
        <f ca="1">IF($N$1&lt;&gt;"",IF($N$1="Bracket Matrix",OFFSET(Seeds!$C$1,MATCH($Q$86,Seeds!$B$2:$B$73,0) + Bracket!S85-1,0),OFFSET(Seeds!$D$1,MATCH($Q$86,Seeds!$B$2:$B$73,0) + Bracket!S85-1,0)),"")</f>
        <v>Iona</v>
      </c>
    </row>
    <row r="85" spans="1:19" x14ac:dyDescent="0.3">
      <c r="A85" s="3">
        <v>13</v>
      </c>
      <c r="E85" s="19"/>
      <c r="F85" s="37" t="str">
        <f>'Bracket Raw'!T4</f>
        <v/>
      </c>
      <c r="G85" s="19"/>
      <c r="N85" s="36" t="str">
        <f>'Bracket Raw'!T6</f>
        <v/>
      </c>
      <c r="P85" s="16"/>
      <c r="S85" s="17">
        <v>13</v>
      </c>
    </row>
    <row r="86" spans="1:19" x14ac:dyDescent="0.3">
      <c r="A86" s="3"/>
      <c r="C86" s="25" t="s">
        <v>12</v>
      </c>
      <c r="E86" s="86"/>
      <c r="F86" s="89"/>
      <c r="G86" s="19"/>
      <c r="N86" s="79"/>
      <c r="O86" s="76"/>
      <c r="P86" s="16"/>
      <c r="Q86" s="17" t="s">
        <v>36</v>
      </c>
      <c r="S86" s="17"/>
    </row>
    <row r="87" spans="1:19" x14ac:dyDescent="0.3">
      <c r="A87" s="49" t="str">
        <f ca="1">IF($N$1&lt;&gt;"",IF($N$1="Bracket Matrix",OFFSET(Seeds!$C$1,MATCH($C$86,Seeds!$B$2:$B$73,0) + Bracket!A88-1,0),OFFSET(Seeds!$D$1,MATCH($C$86,Seeds!$B$2:$B$73,0) + Bracket!A88-1,0)),"")</f>
        <v>Texas</v>
      </c>
      <c r="E87" s="73" t="str">
        <f>IF(E86=D71,D72,IF(E86=D99,D100,""))</f>
        <v/>
      </c>
      <c r="F87" s="74"/>
      <c r="N87" s="80" t="str">
        <f>IF(N86=P71,P72,IF(N86=P99,P100,""))</f>
        <v/>
      </c>
      <c r="O87" s="78"/>
      <c r="P87" s="16"/>
      <c r="S87" s="46" t="str">
        <f ca="1">IF($N$1&lt;&gt;"",IF($N$1="Bracket Matrix",OFFSET(Seeds!$C$1,MATCH($Q$86,Seeds!$B$2:$B$73,0) + Bracket!S88-1,0),OFFSET(Seeds!$D$1,MATCH($Q$86,Seeds!$B$2:$B$73,0) + Bracket!S88-1,0)),"")</f>
        <v>Seton Hall</v>
      </c>
    </row>
    <row r="88" spans="1:19" x14ac:dyDescent="0.3">
      <c r="A88" s="7">
        <v>6</v>
      </c>
      <c r="E88" s="19"/>
      <c r="P88" s="16"/>
      <c r="R88" s="8"/>
      <c r="S88" s="9">
        <v>6</v>
      </c>
    </row>
    <row r="89" spans="1:19" x14ac:dyDescent="0.3">
      <c r="A89" s="33">
        <f ca="1">'Bracket Raw'!D27</f>
        <v>0.61099077106592281</v>
      </c>
      <c r="B89" s="10" t="s">
        <v>49</v>
      </c>
      <c r="E89" s="19"/>
      <c r="P89" s="16"/>
      <c r="R89" s="12" t="s">
        <v>4</v>
      </c>
      <c r="S89" s="35">
        <f ca="1">'Bracket Raw'!D59</f>
        <v>0.43113812132451973</v>
      </c>
    </row>
    <row r="90" spans="1:19" x14ac:dyDescent="0.3">
      <c r="A90" s="33">
        <f ca="1">'Bracket Raw'!D28</f>
        <v>0.38900922893407719</v>
      </c>
      <c r="B90" s="3">
        <f ca="1">IF(B89="","",IF(B89=A87,A88,A92))</f>
        <v>11</v>
      </c>
      <c r="C90" s="13"/>
      <c r="E90" s="19"/>
      <c r="P90" s="16"/>
      <c r="R90" s="14">
        <f ca="1">IF(R89="","",IF(R89=S87,S88,S92))</f>
        <v>11</v>
      </c>
      <c r="S90" s="35">
        <f ca="1">'Bracket Raw'!D60</f>
        <v>0.56886187867548021</v>
      </c>
    </row>
    <row r="91" spans="1:19" x14ac:dyDescent="0.3">
      <c r="A91" s="70" t="str">
        <f ca="1">IF($N$1&lt;&gt;"",IF($N$1="Bracket Matrix",OFFSET(Seeds!$C$1,MATCH($C$86,Seeds!$B$2:$B$73,0) + Bracket!A92-1,0),OFFSET(Seeds!$D$1,MATCH($C$86,Seeds!$B$2:$B$73,0) + Bracket!A92-1,0)),"")</f>
        <v>Northern Iowa</v>
      </c>
      <c r="B91" s="34">
        <f ca="1">'Bracket Raw'!H15</f>
        <v>0.32037025337806768</v>
      </c>
      <c r="C91" s="13"/>
      <c r="E91" s="19"/>
      <c r="P91" s="16"/>
      <c r="R91" s="38">
        <f ca="1">'Bracket Raw'!H31</f>
        <v>0.55959657483037728</v>
      </c>
      <c r="S91" s="47" t="str">
        <f ca="1">IF($N$1&lt;&gt;"",IF($N$1="Bracket Matrix",OFFSET(Seeds!$C$1,MATCH($Q$86,Seeds!$B$2:$B$73,0) + Bracket!S92-1,0),OFFSET(Seeds!$D$1,MATCH($Q$86,Seeds!$B$2:$B$73,0) + Bracket!S92-1,0)),"")</f>
        <v>Gonzaga</v>
      </c>
    </row>
    <row r="92" spans="1:19" x14ac:dyDescent="0.3">
      <c r="A92" s="3">
        <v>11</v>
      </c>
      <c r="C92" s="10"/>
      <c r="E92" s="19"/>
      <c r="P92" s="16"/>
      <c r="Q92" s="6"/>
      <c r="R92" s="16"/>
      <c r="S92" s="17">
        <v>11</v>
      </c>
    </row>
    <row r="93" spans="1:19" x14ac:dyDescent="0.3">
      <c r="A93" s="3"/>
      <c r="C93" s="18" t="str">
        <f>IF(C92=B89,B90,IF(C92=B96,B97,""))</f>
        <v/>
      </c>
      <c r="D93" s="19"/>
      <c r="E93" s="19"/>
      <c r="P93" s="16"/>
      <c r="Q93" s="14" t="str">
        <f>IF(Q92=R89,R90,IF(Q92=R96,R97,""))</f>
        <v/>
      </c>
      <c r="R93" s="16"/>
      <c r="S93" s="17"/>
    </row>
    <row r="94" spans="1:19" x14ac:dyDescent="0.3">
      <c r="A94" s="49" t="str">
        <f ca="1">IF($N$1&lt;&gt;"",IF($N$1="Bracket Matrix",OFFSET(Seeds!$C$1,MATCH($C$86,Seeds!$B$2:$B$73,0) + Bracket!A95-1,0),OFFSET(Seeds!$D$1,MATCH($C$86,Seeds!$B$2:$B$73,0) + Bracket!A95-1,0)),"")</f>
        <v>Texas A&amp;M</v>
      </c>
      <c r="C94" s="35" t="str">
        <f>'Bracket Raw'!L9</f>
        <v/>
      </c>
      <c r="D94" s="19"/>
      <c r="E94" s="19"/>
      <c r="P94" s="16"/>
      <c r="Q94" s="39" t="str">
        <f>'Bracket Raw'!L17</f>
        <v/>
      </c>
      <c r="R94" s="16"/>
      <c r="S94" s="46" t="str">
        <f ca="1">IF($N$1&lt;&gt;"",IF($N$1="Bracket Matrix",OFFSET(Seeds!$C$1,MATCH($Q$86,Seeds!$B$2:$B$73,0) + Bracket!S95-1,0),OFFSET(Seeds!$D$1,MATCH($Q$86,Seeds!$B$2:$B$73,0) + Bracket!S95-1,0)),"")</f>
        <v>Utah</v>
      </c>
    </row>
    <row r="95" spans="1:19" x14ac:dyDescent="0.3">
      <c r="A95" s="7">
        <v>3</v>
      </c>
      <c r="B95" s="34">
        <f ca="1">'Bracket Raw'!H16</f>
        <v>0.67962974662193232</v>
      </c>
      <c r="C95" s="13"/>
      <c r="D95" s="19"/>
      <c r="E95" s="19"/>
      <c r="P95" s="16"/>
      <c r="Q95" s="16"/>
      <c r="R95" s="38">
        <f ca="1">'Bracket Raw'!H32</f>
        <v>0.44040342516962272</v>
      </c>
      <c r="S95" s="9">
        <v>3</v>
      </c>
    </row>
    <row r="96" spans="1:19" x14ac:dyDescent="0.3">
      <c r="A96" s="33">
        <f ca="1">'Bracket Raw'!D29</f>
        <v>0.81371710123558616</v>
      </c>
      <c r="B96" s="10" t="s">
        <v>63</v>
      </c>
      <c r="C96" s="13"/>
      <c r="D96" s="19"/>
      <c r="E96" s="19"/>
      <c r="P96" s="16"/>
      <c r="Q96" s="16"/>
      <c r="R96" s="24" t="s">
        <v>48</v>
      </c>
      <c r="S96" s="35">
        <f ca="1">'Bracket Raw'!D61</f>
        <v>0.73794469152331932</v>
      </c>
    </row>
    <row r="97" spans="1:19" x14ac:dyDescent="0.3">
      <c r="A97" s="33">
        <f ca="1">'Bracket Raw'!D30</f>
        <v>0.18628289876441384</v>
      </c>
      <c r="B97" s="3">
        <f ca="1">IF(B96="","",IF(B96=A94,A95,A99))</f>
        <v>3</v>
      </c>
      <c r="D97" s="19"/>
      <c r="E97" s="19"/>
      <c r="P97" s="16"/>
      <c r="Q97" s="16"/>
      <c r="R97" s="20">
        <f ca="1">IF(R96="","",IF(R96=S94,S95,S99))</f>
        <v>3</v>
      </c>
      <c r="S97" s="35">
        <f ca="1">'Bracket Raw'!D62</f>
        <v>0.26205530847668068</v>
      </c>
    </row>
    <row r="98" spans="1:19" x14ac:dyDescent="0.3">
      <c r="A98" s="50" t="str">
        <f ca="1">IF($N$1&lt;&gt;"",IF($N$1="Bracket Matrix",OFFSET(Seeds!$C$1,MATCH($C$86,Seeds!$B$2:$B$73,0) + Bracket!A99-1,0),OFFSET(Seeds!$D$1,MATCH($C$86,Seeds!$B$2:$B$73,0) + Bracket!A99-1,0)),"")</f>
        <v>Green Bay</v>
      </c>
      <c r="D98" s="36" t="str">
        <f>'Bracket Raw'!P6</f>
        <v/>
      </c>
      <c r="E98" s="19"/>
      <c r="P98" s="39" t="str">
        <f>'Bracket Raw'!P10</f>
        <v/>
      </c>
      <c r="Q98" s="16"/>
      <c r="R98" s="8"/>
      <c r="S98" s="47" t="str">
        <f ca="1">IF($N$1&lt;&gt;"",IF($N$1="Bracket Matrix",OFFSET(Seeds!$C$1,MATCH($Q$86,Seeds!$B$2:$B$73,0) + Bracket!S99-1,0),OFFSET(Seeds!$D$1,MATCH($Q$86,Seeds!$B$2:$B$73,0) + Bracket!S99-1,0)),"")</f>
        <v>Fresno State</v>
      </c>
    </row>
    <row r="99" spans="1:19" x14ac:dyDescent="0.3">
      <c r="A99" s="3">
        <v>14</v>
      </c>
      <c r="D99" s="11"/>
      <c r="E99" s="19"/>
      <c r="P99" s="24"/>
      <c r="Q99" s="16"/>
      <c r="S99" s="17">
        <v>14</v>
      </c>
    </row>
    <row r="100" spans="1:19" x14ac:dyDescent="0.3">
      <c r="A100" s="3"/>
      <c r="D100" s="13" t="str">
        <f>IF(D99=C92,C93,IF(D99=C106,C107,""))</f>
        <v/>
      </c>
      <c r="P100" s="23" t="str">
        <f>IF(P99=Q92,Q93,IF(P99=Q106,Q107,""))</f>
        <v/>
      </c>
      <c r="Q100" s="16"/>
      <c r="S100" s="17"/>
    </row>
    <row r="101" spans="1:19" x14ac:dyDescent="0.3">
      <c r="A101" s="49" t="str">
        <f ca="1">IF($N$1&lt;&gt;"",IF($N$1="Bracket Matrix",OFFSET(Seeds!$C$1,MATCH($C$86,Seeds!$B$2:$B$73,0) + Bracket!A102-1,0),OFFSET(Seeds!$D$1,MATCH($C$86,Seeds!$B$2:$B$73,0) + Bracket!A102-1,0)),"")</f>
        <v>Oregon State</v>
      </c>
      <c r="D101" s="19"/>
      <c r="Q101" s="16"/>
      <c r="S101" s="49" t="str">
        <f ca="1">IF($N$1&lt;&gt;"",IF($N$1="Bracket Matrix",OFFSET(Seeds!$C$1,MATCH($Q$86,Seeds!$B$2:$B$73,0) + Bracket!S102-1,0),OFFSET(Seeds!$D$1,MATCH($Q$86,Seeds!$B$2:$B$73,0) + Bracket!S102-1,0)),"")</f>
        <v>Dayton</v>
      </c>
    </row>
    <row r="102" spans="1:19" x14ac:dyDescent="0.3">
      <c r="A102" s="7">
        <v>7</v>
      </c>
      <c r="D102" s="19"/>
      <c r="Q102" s="16"/>
      <c r="R102" s="8"/>
      <c r="S102" s="9">
        <v>7</v>
      </c>
    </row>
    <row r="103" spans="1:19" x14ac:dyDescent="0.3">
      <c r="A103" s="33">
        <f ca="1">'Bracket Raw'!D31</f>
        <v>0.40148480234856265</v>
      </c>
      <c r="B103" s="10" t="s">
        <v>5</v>
      </c>
      <c r="D103" s="19"/>
      <c r="Q103" s="16"/>
      <c r="R103" s="12" t="s">
        <v>16</v>
      </c>
      <c r="S103" s="35">
        <f ca="1">'Bracket Raw'!D63</f>
        <v>0.45049479793337588</v>
      </c>
    </row>
    <row r="104" spans="1:19" x14ac:dyDescent="0.3">
      <c r="A104" s="33">
        <f ca="1">'Bracket Raw'!D32</f>
        <v>0.59851519765143735</v>
      </c>
      <c r="B104" s="3">
        <f ca="1">IF(B103="","",IF(B103=A101,A102,A106))</f>
        <v>10</v>
      </c>
      <c r="C104" s="13"/>
      <c r="D104" s="19"/>
      <c r="Q104" s="16"/>
      <c r="R104" s="14">
        <f ca="1">IF(R103="","",IF(R103=S101,S102,S106))</f>
        <v>10</v>
      </c>
      <c r="S104" s="35">
        <f ca="1">'Bracket Raw'!D64</f>
        <v>0.54950520206662412</v>
      </c>
    </row>
    <row r="105" spans="1:19" x14ac:dyDescent="0.3">
      <c r="A105" s="50" t="str">
        <f ca="1">IF($N$1&lt;&gt;"",IF($N$1="Bracket Matrix",OFFSET(Seeds!$C$1,MATCH($C$86,Seeds!$B$2:$B$73,0) + Bracket!A106-1,0),OFFSET(Seeds!$D$1,MATCH($C$86,Seeds!$B$2:$B$73,0) + Bracket!A106-1,0)),"")</f>
        <v>VCU</v>
      </c>
      <c r="B105" s="34">
        <f ca="1">'Bracket Raw'!H17</f>
        <v>0.35765834592253298</v>
      </c>
      <c r="C105" s="35" t="str">
        <f>'Bracket Raw'!L10</f>
        <v/>
      </c>
      <c r="D105" s="19"/>
      <c r="Q105" s="39" t="str">
        <f>'Bracket Raw'!L18</f>
        <v/>
      </c>
      <c r="R105" s="38">
        <f ca="1">'Bracket Raw'!H33</f>
        <v>0.73110023970362503</v>
      </c>
      <c r="S105" s="47" t="str">
        <f ca="1">IF($N$1&lt;&gt;"",IF($N$1="Bracket Matrix",OFFSET(Seeds!$C$1,MATCH($Q$86,Seeds!$B$2:$B$73,0) + Bracket!S106-1,0),OFFSET(Seeds!$D$1,MATCH($Q$86,Seeds!$B$2:$B$73,0) + Bracket!S106-1,0)),"")</f>
        <v>Syracuse</v>
      </c>
    </row>
    <row r="106" spans="1:19" x14ac:dyDescent="0.3">
      <c r="A106" s="3">
        <v>10</v>
      </c>
      <c r="C106" s="13"/>
      <c r="D106" s="19"/>
      <c r="Q106" s="21"/>
      <c r="R106" s="16"/>
      <c r="S106" s="17">
        <v>10</v>
      </c>
    </row>
    <row r="107" spans="1:19" x14ac:dyDescent="0.3">
      <c r="A107" s="3"/>
      <c r="C107" s="22" t="str">
        <f>IF(C106=B103,B104,IF(C106=B110,B111,""))</f>
        <v/>
      </c>
      <c r="Q107" s="23" t="str">
        <f>IF(Q106=R103,R104,IF(Q106=R110,R111,""))</f>
        <v/>
      </c>
      <c r="R107" s="16"/>
      <c r="S107" s="17"/>
    </row>
    <row r="108" spans="1:19" x14ac:dyDescent="0.3">
      <c r="A108" s="49" t="str">
        <f ca="1">IF($N$1&lt;&gt;"",IF($N$1="Bracket Matrix",OFFSET(Seeds!$C$1,MATCH($C$86,Seeds!$B$2:$B$73,0) + Bracket!A109-1,0),OFFSET(Seeds!$D$1,MATCH($C$86,Seeds!$B$2:$B$73,0) + Bracket!A109-1,0)),"")</f>
        <v>Oklahoma</v>
      </c>
      <c r="C108" s="13"/>
      <c r="R108" s="16"/>
      <c r="S108" s="49" t="str">
        <f ca="1">IF($N$1&lt;&gt;"",IF($N$1="Bracket Matrix",OFFSET(Seeds!$C$1,MATCH($Q$86,Seeds!$B$2:$B$73,0) + Bracket!S109-1,0),OFFSET(Seeds!$D$1,MATCH($Q$86,Seeds!$B$2:$B$73,0) + Bracket!S109-1,0)),"")</f>
        <v>Michigan State</v>
      </c>
    </row>
    <row r="109" spans="1:19" x14ac:dyDescent="0.3">
      <c r="A109" s="7">
        <v>2</v>
      </c>
      <c r="B109" s="34">
        <f ca="1">'Bracket Raw'!H18</f>
        <v>0.64234165407746702</v>
      </c>
      <c r="C109" s="13"/>
      <c r="R109" s="38">
        <f ca="1">'Bracket Raw'!H34</f>
        <v>0.26889976029637497</v>
      </c>
      <c r="S109" s="9">
        <v>2</v>
      </c>
    </row>
    <row r="110" spans="1:19" x14ac:dyDescent="0.3">
      <c r="A110" s="33">
        <f ca="1">'Bracket Raw'!D33</f>
        <v>0.86225515429442534</v>
      </c>
      <c r="B110" s="10" t="s">
        <v>6</v>
      </c>
      <c r="C110" s="13"/>
      <c r="R110" s="24" t="s">
        <v>132</v>
      </c>
      <c r="S110" s="35">
        <f ca="1">'Bracket Raw'!D65</f>
        <v>0.89664269533251018</v>
      </c>
    </row>
    <row r="111" spans="1:19" x14ac:dyDescent="0.3">
      <c r="A111" s="33">
        <f ca="1">'Bracket Raw'!D34</f>
        <v>0.13774484570557466</v>
      </c>
      <c r="B111" s="3">
        <f ca="1">IF(B110="","",IF(B110=A108,A109,A113))</f>
        <v>2</v>
      </c>
      <c r="R111" s="20">
        <f ca="1">IF(R110="","",IF(R110=S108,S109,S113))</f>
        <v>15</v>
      </c>
      <c r="S111" s="35">
        <f ca="1">'Bracket Raw'!D66</f>
        <v>0.10335730466748982</v>
      </c>
    </row>
    <row r="112" spans="1:19" x14ac:dyDescent="0.3">
      <c r="A112" s="50" t="str">
        <f ca="1">IF($N$1&lt;&gt;"",IF($N$1="Bracket Matrix",OFFSET(Seeds!$C$1,MATCH($C$86,Seeds!$B$2:$B$73,0) + Bracket!A113-1,0),OFFSET(Seeds!$D$1,MATCH($C$86,Seeds!$B$2:$B$73,0) + Bracket!A113-1,0)),"")</f>
        <v>CSU Bakersfield</v>
      </c>
      <c r="R112" s="8"/>
      <c r="S112" s="47" t="str">
        <f ca="1">IF($N$1&lt;&gt;"",IF($N$1="Bracket Matrix",OFFSET(Seeds!$C$1,MATCH($Q$86,Seeds!$B$2:$B$73,0) + Bracket!S113-1,0),OFFSET(Seeds!$D$1,MATCH($Q$86,Seeds!$B$2:$B$73,0) + Bracket!S113-1,0)),"")</f>
        <v>Middle Tennessee</v>
      </c>
    </row>
    <row r="113" spans="1:19" x14ac:dyDescent="0.3">
      <c r="A113" s="3">
        <v>15</v>
      </c>
      <c r="S113" s="17">
        <v>15</v>
      </c>
    </row>
    <row r="118" spans="1:19" ht="15.6" x14ac:dyDescent="0.3">
      <c r="Q118"/>
    </row>
  </sheetData>
  <mergeCells count="12">
    <mergeCell ref="G1:H1"/>
    <mergeCell ref="E87:F87"/>
    <mergeCell ref="N30:O30"/>
    <mergeCell ref="N31:O31"/>
    <mergeCell ref="N86:O86"/>
    <mergeCell ref="N87:O87"/>
    <mergeCell ref="G58:H58"/>
    <mergeCell ref="L58:M58"/>
    <mergeCell ref="I58:K58"/>
    <mergeCell ref="E30:F30"/>
    <mergeCell ref="E31:F31"/>
    <mergeCell ref="E86:F86"/>
  </mergeCells>
  <dataValidations count="3">
    <dataValidation type="list" allowBlank="1" showInputMessage="1" showErrorMessage="1" sqref="I2">
      <formula1>"Kenpom,BPI,Composite"</formula1>
    </dataValidation>
    <dataValidation type="list" allowBlank="1" showInputMessage="1" showErrorMessage="1" sqref="I1">
      <formula1>"Composite,Kenpom,PVA,Sagarin Predictor,No Preseason"</formula1>
    </dataValidation>
    <dataValidation type="list" allowBlank="1" showInputMessage="1" showErrorMessage="1" sqref="N1">
      <formula1>"Bracket Matrix,Actual"</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27" r:id="rId4" name="ClearPicks">
          <controlPr autoLine="0" autoPict="0" r:id="rId5">
            <anchor moveWithCells="1">
              <from>
                <xdr:col>9</xdr:col>
                <xdr:colOff>15240</xdr:colOff>
                <xdr:row>0</xdr:row>
                <xdr:rowOff>0</xdr:rowOff>
              </from>
              <to>
                <xdr:col>11</xdr:col>
                <xdr:colOff>7620</xdr:colOff>
                <xdr:row>0</xdr:row>
                <xdr:rowOff>236220</xdr:rowOff>
              </to>
            </anchor>
          </controlPr>
        </control>
      </mc:Choice>
      <mc:Fallback>
        <control shapeId="1027" r:id="rId4" name="ClearPicks"/>
      </mc:Fallback>
    </mc:AlternateContent>
  </controls>
  <extLst>
    <ext xmlns:x14="http://schemas.microsoft.com/office/spreadsheetml/2009/9/main" uri="{CCE6A557-97BC-4b89-ADB6-D9C93CAAB3DF}">
      <x14:dataValidations xmlns:xm="http://schemas.microsoft.com/office/excel/2006/main" count="68">
        <x14:dataValidation type="list" allowBlank="1" showInputMessage="1" showErrorMessage="1">
          <x14:formula1>
            <xm:f>'Bracket Raw'!$G$3:$G$4</xm:f>
          </x14:formula1>
          <xm:sqref>C8</xm:sqref>
        </x14:dataValidation>
        <x14:dataValidation type="list" errorStyle="information" allowBlank="1" showInputMessage="1">
          <x14:formula1>
            <xm:f>'Bracket Raw'!$C$73:$C$74</xm:f>
          </x14:formula1>
          <xm:sqref>O5</xm:sqref>
        </x14:dataValidation>
        <x14:dataValidation type="list" allowBlank="1" showInputMessage="1" showErrorMessage="1">
          <x14:formula1>
            <xm:f>'Bracket Raw'!$C$65:$C$66</xm:f>
          </x14:formula1>
          <xm:sqref>R110</xm:sqref>
        </x14:dataValidation>
        <x14:dataValidation type="list" errorStyle="information" showInputMessage="1">
          <x14:formula1>
            <xm:f>'Bracket Raw'!$C$3:$C$4</xm:f>
          </x14:formula1>
          <xm:sqref>B5</xm:sqref>
        </x14:dataValidation>
        <x14:dataValidation type="list" errorStyle="information" allowBlank="1" showInputMessage="1">
          <x14:formula1>
            <xm:f>'Bracket Raw'!$C$5:$C$6</xm:f>
          </x14:formula1>
          <xm:sqref>B12</xm:sqref>
        </x14:dataValidation>
        <x14:dataValidation type="list" errorStyle="information" allowBlank="1" showInputMessage="1">
          <x14:formula1>
            <xm:f>'Bracket Raw'!$C$7:$C$8</xm:f>
          </x14:formula1>
          <xm:sqref>B19</xm:sqref>
        </x14:dataValidation>
        <x14:dataValidation type="list" errorStyle="information" allowBlank="1" showInputMessage="1">
          <x14:formula1>
            <xm:f>'Bracket Raw'!$C$9:$C$10</xm:f>
          </x14:formula1>
          <xm:sqref>B26</xm:sqref>
        </x14:dataValidation>
        <x14:dataValidation type="list" errorStyle="information" allowBlank="1" showInputMessage="1">
          <x14:formula1>
            <xm:f>'Bracket Raw'!$C$11:$C$12</xm:f>
          </x14:formula1>
          <xm:sqref>B33</xm:sqref>
        </x14:dataValidation>
        <x14:dataValidation type="list" errorStyle="information" allowBlank="1" showInputMessage="1">
          <x14:formula1>
            <xm:f>'Bracket Raw'!$C$13:$C$14</xm:f>
          </x14:formula1>
          <xm:sqref>B40</xm:sqref>
        </x14:dataValidation>
        <x14:dataValidation type="list" errorStyle="information" allowBlank="1" showInputMessage="1">
          <x14:formula1>
            <xm:f>'Bracket Raw'!$C$15:$C$16</xm:f>
          </x14:formula1>
          <xm:sqref>B47</xm:sqref>
        </x14:dataValidation>
        <x14:dataValidation type="list" errorStyle="information" allowBlank="1" showInputMessage="1">
          <x14:formula1>
            <xm:f>'Bracket Raw'!$C$17:$C$18</xm:f>
          </x14:formula1>
          <xm:sqref>B54</xm:sqref>
        </x14:dataValidation>
        <x14:dataValidation type="list" errorStyle="information" allowBlank="1" showInputMessage="1">
          <x14:formula1>
            <xm:f>'Bracket Raw'!$C$19:$C$20</xm:f>
          </x14:formula1>
          <xm:sqref>B61</xm:sqref>
        </x14:dataValidation>
        <x14:dataValidation type="list" errorStyle="information" allowBlank="1" showInputMessage="1">
          <x14:formula1>
            <xm:f>'Bracket Raw'!$C$21:$C$22</xm:f>
          </x14:formula1>
          <xm:sqref>B68</xm:sqref>
        </x14:dataValidation>
        <x14:dataValidation type="list" errorStyle="information" allowBlank="1" showInputMessage="1">
          <x14:formula1>
            <xm:f>'Bracket Raw'!$C$23:$C$24</xm:f>
          </x14:formula1>
          <xm:sqref>B75</xm:sqref>
        </x14:dataValidation>
        <x14:dataValidation type="list" errorStyle="information" allowBlank="1" showInputMessage="1">
          <x14:formula1>
            <xm:f>'Bracket Raw'!$C$25:$C$26</xm:f>
          </x14:formula1>
          <xm:sqref>B82</xm:sqref>
        </x14:dataValidation>
        <x14:dataValidation type="list" errorStyle="information" allowBlank="1" showInputMessage="1">
          <x14:formula1>
            <xm:f>'Bracket Raw'!$C$27:$C$28</xm:f>
          </x14:formula1>
          <xm:sqref>B89</xm:sqref>
        </x14:dataValidation>
        <x14:dataValidation type="list" errorStyle="information" allowBlank="1" showInputMessage="1">
          <x14:formula1>
            <xm:f>'Bracket Raw'!$C$29:$C$30</xm:f>
          </x14:formula1>
          <xm:sqref>B96</xm:sqref>
        </x14:dataValidation>
        <x14:dataValidation type="list" errorStyle="information" allowBlank="1" showInputMessage="1">
          <x14:formula1>
            <xm:f>'Bracket Raw'!$C$31:$C$32</xm:f>
          </x14:formula1>
          <xm:sqref>B103</xm:sqref>
        </x14:dataValidation>
        <x14:dataValidation type="list" errorStyle="information" allowBlank="1" showInputMessage="1">
          <x14:formula1>
            <xm:f>'Bracket Raw'!$C$33:$C$34</xm:f>
          </x14:formula1>
          <xm:sqref>B110</xm:sqref>
        </x14:dataValidation>
        <x14:dataValidation type="list" allowBlank="1" showInputMessage="1" showErrorMessage="1">
          <x14:formula1>
            <xm:f>'Bracket Raw'!$C$35:$C$36</xm:f>
          </x14:formula1>
          <xm:sqref>R5</xm:sqref>
        </x14:dataValidation>
        <x14:dataValidation type="list" allowBlank="1" showInputMessage="1" showErrorMessage="1">
          <x14:formula1>
            <xm:f>'Bracket Raw'!$C$37:$C$38</xm:f>
          </x14:formula1>
          <xm:sqref>R12</xm:sqref>
        </x14:dataValidation>
        <x14:dataValidation type="list" allowBlank="1" showInputMessage="1" showErrorMessage="1">
          <x14:formula1>
            <xm:f>'Bracket Raw'!$C$39:$C$40</xm:f>
          </x14:formula1>
          <xm:sqref>R19</xm:sqref>
        </x14:dataValidation>
        <x14:dataValidation type="list" allowBlank="1" showInputMessage="1" showErrorMessage="1">
          <x14:formula1>
            <xm:f>'Bracket Raw'!$C$41:$C$42</xm:f>
          </x14:formula1>
          <xm:sqref>R26</xm:sqref>
        </x14:dataValidation>
        <x14:dataValidation type="list" allowBlank="1" showInputMessage="1" showErrorMessage="1">
          <x14:formula1>
            <xm:f>'Bracket Raw'!$C$43:$C$44</xm:f>
          </x14:formula1>
          <xm:sqref>R33</xm:sqref>
        </x14:dataValidation>
        <x14:dataValidation type="list" allowBlank="1" showInputMessage="1" showErrorMessage="1">
          <x14:formula1>
            <xm:f>'Bracket Raw'!$C$45:$C$46</xm:f>
          </x14:formula1>
          <xm:sqref>R40</xm:sqref>
        </x14:dataValidation>
        <x14:dataValidation type="list" allowBlank="1" showInputMessage="1" showErrorMessage="1">
          <x14:formula1>
            <xm:f>'Bracket Raw'!$C$47:$C$48</xm:f>
          </x14:formula1>
          <xm:sqref>R47</xm:sqref>
        </x14:dataValidation>
        <x14:dataValidation type="list" allowBlank="1" showInputMessage="1" showErrorMessage="1">
          <x14:formula1>
            <xm:f>'Bracket Raw'!$C$49:$C$50</xm:f>
          </x14:formula1>
          <xm:sqref>R54</xm:sqref>
        </x14:dataValidation>
        <x14:dataValidation type="list" allowBlank="1" showInputMessage="1" showErrorMessage="1">
          <x14:formula1>
            <xm:f>'Bracket Raw'!$C$51:$C$52</xm:f>
          </x14:formula1>
          <xm:sqref>R61</xm:sqref>
        </x14:dataValidation>
        <x14:dataValidation type="list" allowBlank="1" showInputMessage="1" showErrorMessage="1">
          <x14:formula1>
            <xm:f>'Bracket Raw'!$C$53:$C$54</xm:f>
          </x14:formula1>
          <xm:sqref>R68</xm:sqref>
        </x14:dataValidation>
        <x14:dataValidation type="list" allowBlank="1" showInputMessage="1" showErrorMessage="1">
          <x14:formula1>
            <xm:f>'Bracket Raw'!$C$55:$C$56</xm:f>
          </x14:formula1>
          <xm:sqref>R75</xm:sqref>
        </x14:dataValidation>
        <x14:dataValidation type="list" allowBlank="1" showInputMessage="1" showErrorMessage="1">
          <x14:formula1>
            <xm:f>'Bracket Raw'!$C$57:$C$58</xm:f>
          </x14:formula1>
          <xm:sqref>R82</xm:sqref>
        </x14:dataValidation>
        <x14:dataValidation type="list" allowBlank="1" showInputMessage="1" showErrorMessage="1">
          <x14:formula1>
            <xm:f>'Bracket Raw'!$C$59:$C$60</xm:f>
          </x14:formula1>
          <xm:sqref>R89</xm:sqref>
        </x14:dataValidation>
        <x14:dataValidation type="list" allowBlank="1" showInputMessage="1" showErrorMessage="1">
          <x14:formula1>
            <xm:f>'Bracket Raw'!$C$61:$C$62</xm:f>
          </x14:formula1>
          <xm:sqref>R96</xm:sqref>
        </x14:dataValidation>
        <x14:dataValidation type="list" allowBlank="1" showInputMessage="1" showErrorMessage="1">
          <x14:formula1>
            <xm:f>'Bracket Raw'!$C$63:$C$64</xm:f>
          </x14:formula1>
          <xm:sqref>R103</xm:sqref>
        </x14:dataValidation>
        <x14:dataValidation type="list" errorStyle="information" allowBlank="1" showInputMessage="1">
          <x14:formula1>
            <xm:f>'Bracket Raw'!$C$67:$C$68</xm:f>
          </x14:formula1>
          <xm:sqref>F5</xm:sqref>
        </x14:dataValidation>
        <x14:dataValidation type="list" errorStyle="information" allowBlank="1" showInputMessage="1">
          <x14:formula1>
            <xm:f>'Bracket Raw'!$C$69:$C$70</xm:f>
          </x14:formula1>
          <xm:sqref>I5</xm:sqref>
        </x14:dataValidation>
        <x14:dataValidation type="list" errorStyle="information" allowBlank="1" showInputMessage="1">
          <x14:formula1>
            <xm:f>'Bracket Raw'!$C$71:$C$72</xm:f>
          </x14:formula1>
          <xm:sqref>L5</xm:sqref>
        </x14:dataValidation>
        <x14:dataValidation type="list" allowBlank="1" showInputMessage="1" showErrorMessage="1">
          <x14:formula1>
            <xm:f>'Bracket Raw'!$G$5:$G$6</xm:f>
          </x14:formula1>
          <xm:sqref>C22</xm:sqref>
        </x14:dataValidation>
        <x14:dataValidation type="list" allowBlank="1" showInputMessage="1" showErrorMessage="1">
          <x14:formula1>
            <xm:f>'Bracket Raw'!$G$7:$G$8</xm:f>
          </x14:formula1>
          <xm:sqref>C36</xm:sqref>
        </x14:dataValidation>
        <x14:dataValidation type="list" allowBlank="1" showInputMessage="1" showErrorMessage="1">
          <x14:formula1>
            <xm:f>'Bracket Raw'!$G$9:$G$10</xm:f>
          </x14:formula1>
          <xm:sqref>C50</xm:sqref>
        </x14:dataValidation>
        <x14:dataValidation type="list" allowBlank="1" showInputMessage="1" showErrorMessage="1">
          <x14:formula1>
            <xm:f>'Bracket Raw'!$G$11:$G$12</xm:f>
          </x14:formula1>
          <xm:sqref>C64</xm:sqref>
        </x14:dataValidation>
        <x14:dataValidation type="list" allowBlank="1" showInputMessage="1" showErrorMessage="1">
          <x14:formula1>
            <xm:f>'Bracket Raw'!$G$13:$G$14</xm:f>
          </x14:formula1>
          <xm:sqref>C78</xm:sqref>
        </x14:dataValidation>
        <x14:dataValidation type="list" allowBlank="1" showInputMessage="1" showErrorMessage="1">
          <x14:formula1>
            <xm:f>'Bracket Raw'!$G$15:$G$16</xm:f>
          </x14:formula1>
          <xm:sqref>C92</xm:sqref>
        </x14:dataValidation>
        <x14:dataValidation type="list" allowBlank="1" showInputMessage="1" showErrorMessage="1">
          <x14:formula1>
            <xm:f>'Bracket Raw'!$G$17:$G$18</xm:f>
          </x14:formula1>
          <xm:sqref>C106</xm:sqref>
        </x14:dataValidation>
        <x14:dataValidation type="list" allowBlank="1" showInputMessage="1" showErrorMessage="1">
          <x14:formula1>
            <xm:f>'Bracket Raw'!$G$19:$G$20</xm:f>
          </x14:formula1>
          <xm:sqref>Q8</xm:sqref>
        </x14:dataValidation>
        <x14:dataValidation type="list" allowBlank="1" showInputMessage="1" showErrorMessage="1">
          <x14:formula1>
            <xm:f>'Bracket Raw'!$G$21:$G$22</xm:f>
          </x14:formula1>
          <xm:sqref>Q22</xm:sqref>
        </x14:dataValidation>
        <x14:dataValidation type="list" allowBlank="1" showInputMessage="1" showErrorMessage="1">
          <x14:formula1>
            <xm:f>'Bracket Raw'!$G$23:$G$24</xm:f>
          </x14:formula1>
          <xm:sqref>Q36</xm:sqref>
        </x14:dataValidation>
        <x14:dataValidation type="list" allowBlank="1" showInputMessage="1" showErrorMessage="1">
          <x14:formula1>
            <xm:f>'Bracket Raw'!$G$25:$G$26</xm:f>
          </x14:formula1>
          <xm:sqref>Q50</xm:sqref>
        </x14:dataValidation>
        <x14:dataValidation type="list" allowBlank="1" showInputMessage="1" showErrorMessage="1">
          <x14:formula1>
            <xm:f>'Bracket Raw'!$G$27:$G$28</xm:f>
          </x14:formula1>
          <xm:sqref>Q64</xm:sqref>
        </x14:dataValidation>
        <x14:dataValidation type="list" allowBlank="1" showInputMessage="1" showErrorMessage="1">
          <x14:formula1>
            <xm:f>'Bracket Raw'!$G$29:$G$30</xm:f>
          </x14:formula1>
          <xm:sqref>Q78</xm:sqref>
        </x14:dataValidation>
        <x14:dataValidation type="list" allowBlank="1" showInputMessage="1" showErrorMessage="1">
          <x14:formula1>
            <xm:f>'Bracket Raw'!$G$31:$G$32</xm:f>
          </x14:formula1>
          <xm:sqref>Q92</xm:sqref>
        </x14:dataValidation>
        <x14:dataValidation type="list" allowBlank="1" showInputMessage="1" showErrorMessage="1">
          <x14:formula1>
            <xm:f>'Bracket Raw'!$G$33:$G$34</xm:f>
          </x14:formula1>
          <xm:sqref>Q106</xm:sqref>
        </x14:dataValidation>
        <x14:dataValidation type="list" allowBlank="1" showInputMessage="1" showErrorMessage="1">
          <x14:formula1>
            <xm:f>'Bracket Raw'!$K$3:$K$4</xm:f>
          </x14:formula1>
          <xm:sqref>D15</xm:sqref>
        </x14:dataValidation>
        <x14:dataValidation type="list" allowBlank="1" showInputMessage="1" showErrorMessage="1">
          <x14:formula1>
            <xm:f>'Bracket Raw'!$K$5:$K$6</xm:f>
          </x14:formula1>
          <xm:sqref>D43</xm:sqref>
        </x14:dataValidation>
        <x14:dataValidation type="list" allowBlank="1" showInputMessage="1" showErrorMessage="1">
          <x14:formula1>
            <xm:f>'Bracket Raw'!$K$7:$K$8</xm:f>
          </x14:formula1>
          <xm:sqref>D71</xm:sqref>
        </x14:dataValidation>
        <x14:dataValidation type="list" allowBlank="1" showInputMessage="1" showErrorMessage="1">
          <x14:formula1>
            <xm:f>'Bracket Raw'!$K$9:$K$10</xm:f>
          </x14:formula1>
          <xm:sqref>D99</xm:sqref>
        </x14:dataValidation>
        <x14:dataValidation type="list" allowBlank="1" showInputMessage="1" showErrorMessage="1">
          <x14:formula1>
            <xm:f>'Bracket Raw'!$K$11:$K$12</xm:f>
          </x14:formula1>
          <xm:sqref>P15</xm:sqref>
        </x14:dataValidation>
        <x14:dataValidation type="list" allowBlank="1" showInputMessage="1" showErrorMessage="1">
          <x14:formula1>
            <xm:f>'Bracket Raw'!$K$13:$K$14</xm:f>
          </x14:formula1>
          <xm:sqref>P43</xm:sqref>
        </x14:dataValidation>
        <x14:dataValidation type="list" allowBlank="1" showInputMessage="1" showErrorMessage="1">
          <x14:formula1>
            <xm:f>'Bracket Raw'!$K$15:$K$16</xm:f>
          </x14:formula1>
          <xm:sqref>P71</xm:sqref>
        </x14:dataValidation>
        <x14:dataValidation type="list" allowBlank="1" showInputMessage="1" showErrorMessage="1">
          <x14:formula1>
            <xm:f>'Bracket Raw'!$K$17:$K$18</xm:f>
          </x14:formula1>
          <xm:sqref>P99</xm:sqref>
        </x14:dataValidation>
        <x14:dataValidation type="list" allowBlank="1" showInputMessage="1" showErrorMessage="1">
          <x14:formula1>
            <xm:f>'Bracket Raw'!$O$3:$O$4</xm:f>
          </x14:formula1>
          <xm:sqref>E30:F30</xm:sqref>
        </x14:dataValidation>
        <x14:dataValidation type="list" allowBlank="1" showInputMessage="1" showErrorMessage="1">
          <x14:formula1>
            <xm:f>'Bracket Raw'!$O$5:$O$6</xm:f>
          </x14:formula1>
          <xm:sqref>E86:F86</xm:sqref>
        </x14:dataValidation>
        <x14:dataValidation type="list" allowBlank="1" showInputMessage="1" showErrorMessage="1">
          <x14:formula1>
            <xm:f>'Bracket Raw'!$O$7:$O$8</xm:f>
          </x14:formula1>
          <xm:sqref>N30:O30</xm:sqref>
        </x14:dataValidation>
        <x14:dataValidation type="list" allowBlank="1" showInputMessage="1" showErrorMessage="1">
          <x14:formula1>
            <xm:f>'Bracket Raw'!$O$9:$O$10</xm:f>
          </x14:formula1>
          <xm:sqref>N86:O86</xm:sqref>
        </x14:dataValidation>
        <x14:dataValidation type="list" allowBlank="1" showInputMessage="1" showErrorMessage="1">
          <x14:formula1>
            <xm:f>'Bracket Raw'!$S$3:$S$4</xm:f>
          </x14:formula1>
          <xm:sqref>G58:H58</xm:sqref>
        </x14:dataValidation>
        <x14:dataValidation type="list" allowBlank="1" showInputMessage="1" showErrorMessage="1">
          <x14:formula1>
            <xm:f>'Bracket Raw'!$S$5:$S$6</xm:f>
          </x14:formula1>
          <xm:sqref>L58:M58</xm:sqref>
        </x14:dataValidation>
        <x14:dataValidation type="list" allowBlank="1" showInputMessage="1" showErrorMessage="1">
          <x14:formula1>
            <xm:f>'Bracket Raw'!$W$3:$W$4</xm:f>
          </x14:formula1>
          <xm:sqref>I58:K58</xm:sqref>
        </x14:dataValidation>
        <x14:dataValidation type="list" errorStyle="information" showInputMessage="1">
          <x14:formula1>
            <xm:f>'Adj Data'!$A$2:$A$353</xm:f>
          </x14:formula1>
          <xm:sqref>A3 N3 N7 S98 A42 E3 A10 A52 A17 A14 A21 A24 A28 A31 A35 A38 S105 A45 A56 A63 A66 A70 A73 A77 A80 A108 A87 A84 A94 A7 A101 A98 A49 S7 S3 S52 S10 S14 S17 S21 S24 S28 S31 S35 S38 S42 S45 S49 S56 S63 S59 S108 S66 A112 S73 S70 S80 S77 S87 S84 S94 S91 S101 A105 K7 E7 A59 H3 H7 K3 S112 A91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52"/>
  <sheetViews>
    <sheetView workbookViewId="0">
      <selection activeCell="C6" sqref="C6"/>
    </sheetView>
  </sheetViews>
  <sheetFormatPr defaultRowHeight="15.6" x14ac:dyDescent="0.3"/>
  <cols>
    <col min="1" max="1" width="8.08203125" style="64" bestFit="1" customWidth="1"/>
    <col min="2" max="2" width="23" style="67" bestFit="1" customWidth="1"/>
    <col min="3" max="3" width="13.08203125" style="44" bestFit="1" customWidth="1"/>
    <col min="4" max="4" width="10.08203125" style="44" bestFit="1" customWidth="1"/>
    <col min="5" max="5" width="15.08203125" style="64" bestFit="1" customWidth="1"/>
    <col min="6" max="6" width="7.08203125" style="44" bestFit="1" customWidth="1"/>
    <col min="7" max="7" width="12.08203125" style="64" bestFit="1" customWidth="1"/>
    <col min="8" max="8" width="16.1640625" style="44" bestFit="1" customWidth="1"/>
    <col min="9" max="9" width="11.08203125" style="64" bestFit="1" customWidth="1"/>
    <col min="10" max="10" width="21.25" style="44" bestFit="1" customWidth="1"/>
    <col min="11" max="11" width="16.1640625" style="64" bestFit="1" customWidth="1"/>
    <col min="12" max="16384" width="8.6640625" style="64"/>
  </cols>
  <sheetData>
    <row r="1" spans="1:11" s="65" customFormat="1" ht="16.2" x14ac:dyDescent="0.3">
      <c r="A1" s="65" t="s">
        <v>392</v>
      </c>
      <c r="B1" s="66" t="s">
        <v>62</v>
      </c>
      <c r="C1" s="45" t="s">
        <v>302</v>
      </c>
      <c r="D1" s="45" t="s">
        <v>325</v>
      </c>
      <c r="E1" s="65" t="s">
        <v>393</v>
      </c>
      <c r="F1" s="45" t="s">
        <v>231</v>
      </c>
      <c r="G1" s="65" t="s">
        <v>394</v>
      </c>
      <c r="H1" s="45" t="s">
        <v>326</v>
      </c>
      <c r="I1" s="65" t="s">
        <v>396</v>
      </c>
      <c r="J1" s="45" t="s">
        <v>395</v>
      </c>
      <c r="K1" s="65" t="s">
        <v>397</v>
      </c>
    </row>
    <row r="2" spans="1:11" x14ac:dyDescent="0.3">
      <c r="A2" s="64">
        <f ca="1">RANK(Table1[[#This Row],[Composite]],Table1[Composite])</f>
        <v>1</v>
      </c>
      <c r="B2" s="67" t="str">
        <f>'Adj Data'!A6</f>
        <v>North Carolina</v>
      </c>
      <c r="C2" s="44">
        <f ca="1">'Adj Data'!G6</f>
        <v>92.30547981771717</v>
      </c>
      <c r="D2" s="44">
        <f ca="1">'Adj Data'!B6</f>
        <v>88.781436681773656</v>
      </c>
      <c r="E2" s="64">
        <f ca="1">RANK(Table1[[#This Row],[Kenpom]],Table1[Kenpom])</f>
        <v>3</v>
      </c>
      <c r="F2" s="44">
        <f ca="1">'Adj Data'!C6</f>
        <v>95.165962406812184</v>
      </c>
      <c r="G2" s="64">
        <f ca="1">RANK(Table1[[#This Row],[PVA]],Table1[PVA])</f>
        <v>1</v>
      </c>
      <c r="H2" s="44">
        <f ca="1">'Adj Data'!D6</f>
        <v>91.86</v>
      </c>
      <c r="I2" s="64">
        <f ca="1">RANK(Table1[[#This Row],[Sagarin]],Table1[Sagarin])</f>
        <v>3</v>
      </c>
      <c r="J2" s="44">
        <f ca="1">IFERROR(AVERAGE('Adj Data'!E6,'Adj Data'!F6),"")</f>
        <v>92.86</v>
      </c>
      <c r="K2" s="64">
        <f ca="1">IFERROR(RANK(Table1[[#This Row],[Preseason]],Table1[Preseason]),"")</f>
        <v>1</v>
      </c>
    </row>
    <row r="3" spans="1:11" x14ac:dyDescent="0.3">
      <c r="A3" s="64">
        <f ca="1">RANK(Table1[[#This Row],[Composite]],Table1[Composite])</f>
        <v>2</v>
      </c>
      <c r="B3" s="67" t="str">
        <f>'Adj Data'!A5</f>
        <v>Kansas</v>
      </c>
      <c r="C3" s="44">
        <f ca="1">'Adj Data'!G5</f>
        <v>91.601877948068406</v>
      </c>
      <c r="D3" s="44">
        <f ca="1">'Adj Data'!B5</f>
        <v>88.943621149316044</v>
      </c>
      <c r="E3" s="64">
        <f ca="1">RANK(Table1[[#This Row],[Kenpom]],Table1[Kenpom])</f>
        <v>2</v>
      </c>
      <c r="F3" s="44">
        <f ca="1">'Adj Data'!C5</f>
        <v>92.58111456153739</v>
      </c>
      <c r="G3" s="64">
        <f ca="1">RANK(Table1[[#This Row],[PVA]],Table1[PVA])</f>
        <v>5</v>
      </c>
      <c r="H3" s="44">
        <f ca="1">'Adj Data'!D5</f>
        <v>92.86</v>
      </c>
      <c r="I3" s="64">
        <f ca="1">RANK(Table1[[#This Row],[Sagarin]],Table1[Sagarin])</f>
        <v>1</v>
      </c>
      <c r="J3" s="44">
        <f ca="1">IFERROR(AVERAGE('Adj Data'!E5,'Adj Data'!F5),"")</f>
        <v>91.812327014744312</v>
      </c>
      <c r="K3" s="64">
        <f ca="1">IFERROR(RANK(Table1[[#This Row],[Preseason]],Table1[Preseason]),"")</f>
        <v>4</v>
      </c>
    </row>
    <row r="4" spans="1:11" x14ac:dyDescent="0.3">
      <c r="A4" s="64">
        <f ca="1">RANK(Table1[[#This Row],[Composite]],Table1[Composite])</f>
        <v>3</v>
      </c>
      <c r="B4" s="67" t="str">
        <f>'Adj Data'!A4</f>
        <v>Virginia</v>
      </c>
      <c r="C4" s="44">
        <f ca="1">'Adj Data'!G4</f>
        <v>91.584345640387923</v>
      </c>
      <c r="D4" s="44">
        <f ca="1">'Adj Data'!B4</f>
        <v>89.151066398498159</v>
      </c>
      <c r="E4" s="64">
        <f ca="1">RANK(Table1[[#This Row],[Kenpom]],Table1[Kenpom])</f>
        <v>1</v>
      </c>
      <c r="F4" s="44">
        <f ca="1">'Adj Data'!C4</f>
        <v>93.873538484174787</v>
      </c>
      <c r="G4" s="64">
        <f ca="1">RANK(Table1[[#This Row],[PVA]],Table1[PVA])</f>
        <v>2</v>
      </c>
      <c r="H4" s="44">
        <f ca="1">'Adj Data'!D4</f>
        <v>91.81</v>
      </c>
      <c r="I4" s="64">
        <f ca="1">RANK(Table1[[#This Row],[Sagarin]],Table1[Sagarin])</f>
        <v>4</v>
      </c>
      <c r="J4" s="44">
        <f ca="1">IFERROR(AVERAGE('Adj Data'!E4,'Adj Data'!F4),"")</f>
        <v>91.543561659633355</v>
      </c>
      <c r="K4" s="64">
        <f ca="1">IFERROR(RANK(Table1[[#This Row],[Preseason]],Table1[Preseason]),"")</f>
        <v>6</v>
      </c>
    </row>
    <row r="5" spans="1:11" x14ac:dyDescent="0.3">
      <c r="A5" s="64">
        <f ca="1">RANK(Table1[[#This Row],[Composite]],Table1[Composite])</f>
        <v>4</v>
      </c>
      <c r="B5" s="67" t="str">
        <f>'Adj Data'!A11</f>
        <v>Kentucky</v>
      </c>
      <c r="C5" s="44">
        <f ca="1">'Adj Data'!G11</f>
        <v>90.716982847246697</v>
      </c>
      <c r="D5" s="44">
        <f ca="1">'Adj Data'!B11</f>
        <v>88.136470543407427</v>
      </c>
      <c r="E5" s="64">
        <f ca="1">RANK(Table1[[#This Row],[Kenpom]],Table1[Kenpom])</f>
        <v>6</v>
      </c>
      <c r="F5" s="44">
        <f ca="1">'Adj Data'!C11</f>
        <v>89.608539539471394</v>
      </c>
      <c r="G5" s="64">
        <f ca="1">RANK(Table1[[#This Row],[PVA]],Table1[PVA])</f>
        <v>9</v>
      </c>
      <c r="H5" s="44">
        <f ca="1">'Adj Data'!D11</f>
        <v>90.43</v>
      </c>
      <c r="I5" s="64">
        <f ca="1">RANK(Table1[[#This Row],[Sagarin]],Table1[Sagarin])</f>
        <v>8</v>
      </c>
      <c r="J5" s="44">
        <f ca="1">IFERROR(AVERAGE('Adj Data'!E11,'Adj Data'!F11),"")</f>
        <v>92.704952076677316</v>
      </c>
      <c r="K5" s="64">
        <f ca="1">IFERROR(RANK(Table1[[#This Row],[Preseason]],Table1[Preseason]),"")</f>
        <v>2</v>
      </c>
    </row>
    <row r="6" spans="1:11" x14ac:dyDescent="0.3">
      <c r="A6" s="64">
        <f ca="1">RANK(Table1[[#This Row],[Composite]],Table1[Composite])</f>
        <v>5</v>
      </c>
      <c r="B6" s="67" t="str">
        <f>'Adj Data'!A3</f>
        <v>Villanova</v>
      </c>
      <c r="C6" s="44">
        <f ca="1">'Adj Data'!G3</f>
        <v>90.456030061024165</v>
      </c>
      <c r="D6" s="44">
        <f ca="1">'Adj Data'!B3</f>
        <v>88.732404168330604</v>
      </c>
      <c r="E6" s="64">
        <f ca="1">RANK(Table1[[#This Row],[Kenpom]],Table1[Kenpom])</f>
        <v>4</v>
      </c>
      <c r="F6" s="44">
        <f ca="1">'Adj Data'!C3</f>
        <v>93.485811307383571</v>
      </c>
      <c r="G6" s="64">
        <f ca="1">RANK(Table1[[#This Row],[PVA]],Table1[PVA])</f>
        <v>3</v>
      </c>
      <c r="H6" s="44">
        <f ca="1">'Adj Data'!D3</f>
        <v>91.61</v>
      </c>
      <c r="I6" s="64">
        <f ca="1">RANK(Table1[[#This Row],[Sagarin]],Table1[Sagarin])</f>
        <v>5</v>
      </c>
      <c r="J6" s="44">
        <f ca="1">IFERROR(AVERAGE('Adj Data'!E3,'Adj Data'!F3),"")</f>
        <v>89.225967414703319</v>
      </c>
      <c r="K6" s="64">
        <f ca="1">IFERROR(RANK(Table1[[#This Row],[Preseason]],Table1[Preseason]),"")</f>
        <v>9</v>
      </c>
    </row>
    <row r="7" spans="1:11" x14ac:dyDescent="0.3">
      <c r="A7" s="64">
        <f ca="1">RANK(Table1[[#This Row],[Composite]],Table1[Composite])</f>
        <v>6</v>
      </c>
      <c r="B7" s="67" t="str">
        <f>'Adj Data'!A2</f>
        <v>Michigan State</v>
      </c>
      <c r="C7" s="44">
        <f ca="1">'Adj Data'!G2</f>
        <v>89.88895583851928</v>
      </c>
      <c r="D7" s="44">
        <f ca="1">'Adj Data'!B2</f>
        <v>88.253394229310061</v>
      </c>
      <c r="E7" s="64">
        <f ca="1">RANK(Table1[[#This Row],[Kenpom]],Table1[Kenpom])</f>
        <v>5</v>
      </c>
      <c r="F7" s="44">
        <f ca="1">'Adj Data'!C2</f>
        <v>92.968841738328621</v>
      </c>
      <c r="G7" s="64">
        <f ca="1">RANK(Table1[[#This Row],[PVA]],Table1[PVA])</f>
        <v>4</v>
      </c>
      <c r="H7" s="44">
        <f ca="1">'Adj Data'!D2</f>
        <v>92.53</v>
      </c>
      <c r="I7" s="64">
        <f ca="1">RANK(Table1[[#This Row],[Sagarin]],Table1[Sagarin])</f>
        <v>2</v>
      </c>
      <c r="J7" s="44">
        <f ca="1">IFERROR(AVERAGE('Adj Data'!E2,'Adj Data'!F2),"")</f>
        <v>87.846271612478859</v>
      </c>
      <c r="K7" s="64">
        <f ca="1">IFERROR(RANK(Table1[[#This Row],[Preseason]],Table1[Preseason]),"")</f>
        <v>13</v>
      </c>
    </row>
    <row r="8" spans="1:11" x14ac:dyDescent="0.3">
      <c r="A8" s="64">
        <f ca="1">RANK(Table1[[#This Row],[Composite]],Table1[Composite])</f>
        <v>7</v>
      </c>
      <c r="B8" s="67" t="str">
        <f>'Adj Data'!A12</f>
        <v>Duke</v>
      </c>
      <c r="C8" s="44">
        <f ca="1">'Adj Data'!G12</f>
        <v>89.639939436666054</v>
      </c>
      <c r="D8" s="44">
        <f ca="1">'Adj Data'!B12</f>
        <v>86.375071791261036</v>
      </c>
      <c r="E8" s="64">
        <f ca="1">RANK(Table1[[#This Row],[Kenpom]],Table1[Kenpom])</f>
        <v>20</v>
      </c>
      <c r="F8" s="44">
        <f ca="1">'Adj Data'!C12</f>
        <v>89.479297147207646</v>
      </c>
      <c r="G8" s="64">
        <f ca="1">RANK(Table1[[#This Row],[PVA]],Table1[PVA])</f>
        <v>11</v>
      </c>
      <c r="H8" s="44">
        <f ca="1">'Adj Data'!D12</f>
        <v>88.97</v>
      </c>
      <c r="I8" s="64">
        <f ca="1">RANK(Table1[[#This Row],[Sagarin]],Table1[Sagarin])</f>
        <v>12</v>
      </c>
      <c r="J8" s="44">
        <f ca="1">IFERROR(AVERAGE('Adj Data'!E12,'Adj Data'!F12),"")</f>
        <v>91.687664122430846</v>
      </c>
      <c r="K8" s="64">
        <f ca="1">IFERROR(RANK(Table1[[#This Row],[Preseason]],Table1[Preseason]),"")</f>
        <v>5</v>
      </c>
    </row>
    <row r="9" spans="1:11" x14ac:dyDescent="0.3">
      <c r="A9" s="64">
        <f ca="1">RANK(Table1[[#This Row],[Composite]],Table1[Composite])</f>
        <v>8</v>
      </c>
      <c r="B9" s="67" t="str">
        <f>'Adj Data'!A7</f>
        <v>Oklahoma</v>
      </c>
      <c r="C9" s="44">
        <f ca="1">'Adj Data'!G7</f>
        <v>89.5811248580317</v>
      </c>
      <c r="D9" s="44">
        <f ca="1">'Adj Data'!B7</f>
        <v>87.766840826682909</v>
      </c>
      <c r="E9" s="64">
        <f ca="1">RANK(Table1[[#This Row],[Kenpom]],Table1[Kenpom])</f>
        <v>8</v>
      </c>
      <c r="F9" s="44">
        <f ca="1">'Adj Data'!C7</f>
        <v>90.900963462108791</v>
      </c>
      <c r="G9" s="64">
        <f ca="1">RANK(Table1[[#This Row],[PVA]],Table1[PVA])</f>
        <v>6</v>
      </c>
      <c r="H9" s="44">
        <f ca="1">'Adj Data'!D7</f>
        <v>89.97</v>
      </c>
      <c r="I9" s="64">
        <f ca="1">RANK(Table1[[#This Row],[Sagarin]],Table1[Sagarin])</f>
        <v>10</v>
      </c>
      <c r="J9" s="44">
        <f ca="1">IFERROR(AVERAGE('Adj Data'!E7,'Adj Data'!F7),"")</f>
        <v>89.633910000683386</v>
      </c>
      <c r="K9" s="64">
        <f ca="1">IFERROR(RANK(Table1[[#This Row],[Preseason]],Table1[Preseason]),"")</f>
        <v>8</v>
      </c>
    </row>
    <row r="10" spans="1:11" x14ac:dyDescent="0.3">
      <c r="A10" s="64">
        <f ca="1">RANK(Table1[[#This Row],[Composite]],Table1[Composite])</f>
        <v>9</v>
      </c>
      <c r="B10" s="67" t="str">
        <f>'Adj Data'!A21</f>
        <v>Maryland</v>
      </c>
      <c r="C10" s="44">
        <f ca="1">'Adj Data'!G21</f>
        <v>89.053531199012994</v>
      </c>
      <c r="D10" s="44">
        <f ca="1">'Adj Data'!B21</f>
        <v>85.884746656830572</v>
      </c>
      <c r="E10" s="64">
        <f ca="1">RANK(Table1[[#This Row],[Kenpom]],Table1[Kenpom])</f>
        <v>24</v>
      </c>
      <c r="F10" s="44">
        <f ca="1">'Adj Data'!C21</f>
        <v>87.282176478724068</v>
      </c>
      <c r="G10" s="64">
        <f ca="1">RANK(Table1[[#This Row],[PVA]],Table1[PVA])</f>
        <v>20</v>
      </c>
      <c r="H10" s="44">
        <f ca="1">'Adj Data'!D21</f>
        <v>87.28</v>
      </c>
      <c r="I10" s="64">
        <f ca="1">RANK(Table1[[#This Row],[Sagarin]],Table1[Sagarin])</f>
        <v>23</v>
      </c>
      <c r="J10" s="44">
        <f ca="1">IFERROR(AVERAGE('Adj Data'!E21,'Adj Data'!F21),"")</f>
        <v>92.410366429755172</v>
      </c>
      <c r="K10" s="64">
        <f ca="1">IFERROR(RANK(Table1[[#This Row],[Preseason]],Table1[Preseason]),"")</f>
        <v>3</v>
      </c>
    </row>
    <row r="11" spans="1:11" x14ac:dyDescent="0.3">
      <c r="A11" s="64">
        <f ca="1">RANK(Table1[[#This Row],[Composite]],Table1[Composite])</f>
        <v>11</v>
      </c>
      <c r="B11" s="67" t="str">
        <f>'Adj Data'!A17</f>
        <v>Arizona</v>
      </c>
      <c r="C11" s="44">
        <f ca="1">'Adj Data'!G17</f>
        <v>88.349524909670848</v>
      </c>
      <c r="D11" s="44">
        <f ca="1">'Adj Data'!B17</f>
        <v>86.488223745360372</v>
      </c>
      <c r="E11" s="64">
        <f ca="1">RANK(Table1[[#This Row],[Kenpom]],Table1[Kenpom])</f>
        <v>19</v>
      </c>
      <c r="F11" s="44">
        <f ca="1">'Adj Data'!C17</f>
        <v>89.220812362680164</v>
      </c>
      <c r="G11" s="64">
        <f ca="1">RANK(Table1[[#This Row],[PVA]],Table1[PVA])</f>
        <v>13</v>
      </c>
      <c r="H11" s="44">
        <f ca="1">'Adj Data'!D17</f>
        <v>88.53</v>
      </c>
      <c r="I11" s="64">
        <f ca="1">RANK(Table1[[#This Row],[Sagarin]],Table1[Sagarin])</f>
        <v>14</v>
      </c>
      <c r="J11" s="44">
        <f ca="1">IFERROR(AVERAGE('Adj Data'!E17,'Adj Data'!F17),"")</f>
        <v>88.754294220156851</v>
      </c>
      <c r="K11" s="64">
        <f ca="1">IFERROR(RANK(Table1[[#This Row],[Preseason]],Table1[Preseason]),"")</f>
        <v>12</v>
      </c>
    </row>
    <row r="12" spans="1:11" x14ac:dyDescent="0.3">
      <c r="A12" s="64">
        <f ca="1">RANK(Table1[[#This Row],[Composite]],Table1[Composite])</f>
        <v>10</v>
      </c>
      <c r="B12" s="67" t="str">
        <f>'Adj Data'!A18</f>
        <v>Iowa State</v>
      </c>
      <c r="C12" s="44">
        <f ca="1">'Adj Data'!G18</f>
        <v>88.394809540201379</v>
      </c>
      <c r="D12" s="44">
        <f ca="1">'Adj Data'!B18</f>
        <v>86.669266871919319</v>
      </c>
      <c r="E12" s="64">
        <f ca="1">RANK(Table1[[#This Row],[Kenpom]],Table1[Kenpom])</f>
        <v>18</v>
      </c>
      <c r="F12" s="44">
        <f ca="1">'Adj Data'!C18</f>
        <v>88.186873224570249</v>
      </c>
      <c r="G12" s="64">
        <f ca="1">RANK(Table1[[#This Row],[PVA]],Table1[PVA])</f>
        <v>18</v>
      </c>
      <c r="H12" s="44">
        <f ca="1">'Adj Data'!D18</f>
        <v>86.9</v>
      </c>
      <c r="I12" s="64">
        <f ca="1">RANK(Table1[[#This Row],[Sagarin]],Table1[Sagarin])</f>
        <v>24</v>
      </c>
      <c r="J12" s="44">
        <f ca="1">IFERROR(AVERAGE('Adj Data'!E18,'Adj Data'!F18),"")</f>
        <v>90.10895380225864</v>
      </c>
      <c r="K12" s="64">
        <f ca="1">IFERROR(RANK(Table1[[#This Row],[Preseason]],Table1[Preseason]),"")</f>
        <v>7</v>
      </c>
    </row>
    <row r="13" spans="1:11" x14ac:dyDescent="0.3">
      <c r="A13" s="64">
        <f ca="1">RANK(Table1[[#This Row],[Composite]],Table1[Composite])</f>
        <v>12</v>
      </c>
      <c r="B13" s="67" t="str">
        <f>'Adj Data'!A14</f>
        <v>Miami</v>
      </c>
      <c r="C13" s="44">
        <f ca="1">'Adj Data'!G14</f>
        <v>88.078514542505118</v>
      </c>
      <c r="D13" s="44">
        <f ca="1">'Adj Data'!B14</f>
        <v>87.091700833890187</v>
      </c>
      <c r="E13" s="64">
        <f ca="1">RANK(Table1[[#This Row],[Kenpom]],Table1[Kenpom])</f>
        <v>15</v>
      </c>
      <c r="F13" s="44">
        <f ca="1">'Adj Data'!C14</f>
        <v>88.703842793625199</v>
      </c>
      <c r="G13" s="64">
        <f ca="1">RANK(Table1[[#This Row],[PVA]],Table1[PVA])</f>
        <v>15</v>
      </c>
      <c r="H13" s="44">
        <f ca="1">'Adj Data'!D14</f>
        <v>88.44</v>
      </c>
      <c r="I13" s="64">
        <f ca="1">RANK(Table1[[#This Row],[Sagarin]],Table1[Sagarin])</f>
        <v>15</v>
      </c>
      <c r="J13" s="44" t="str">
        <f ca="1">IFERROR(AVERAGE('Adj Data'!E14,'Adj Data'!F14),"")</f>
        <v/>
      </c>
      <c r="K13" s="64" t="str">
        <f ca="1">IFERROR(RANK(Table1[[#This Row],[Preseason]],Table1[Preseason]),"")</f>
        <v/>
      </c>
    </row>
    <row r="14" spans="1:11" x14ac:dyDescent="0.3">
      <c r="A14" s="64">
        <f ca="1">RANK(Table1[[#This Row],[Composite]],Table1[Composite])</f>
        <v>13</v>
      </c>
      <c r="B14" s="67" t="str">
        <f>'Adj Data'!A9</f>
        <v>Wichita St</v>
      </c>
      <c r="C14" s="44">
        <f ca="1">'Adj Data'!G9</f>
        <v>88.054134633090058</v>
      </c>
      <c r="D14" s="44">
        <f ca="1">'Adj Data'!B9</f>
        <v>88.012003393898141</v>
      </c>
      <c r="E14" s="64">
        <f ca="1">RANK(Table1[[#This Row],[Kenpom]],Table1[Kenpom])</f>
        <v>7</v>
      </c>
      <c r="F14" s="44">
        <f ca="1">'Adj Data'!C9</f>
        <v>85.860510163822937</v>
      </c>
      <c r="G14" s="64">
        <f ca="1">RANK(Table1[[#This Row],[PVA]],Table1[PVA])</f>
        <v>25</v>
      </c>
      <c r="H14" s="44">
        <f ca="1">'Adj Data'!D9</f>
        <v>88.34</v>
      </c>
      <c r="I14" s="64">
        <f ca="1">RANK(Table1[[#This Row],[Sagarin]],Table1[Sagarin])</f>
        <v>16</v>
      </c>
      <c r="J14" s="44">
        <f ca="1">IFERROR(AVERAGE('Adj Data'!E9,'Adj Data'!F9),"")</f>
        <v>89.029079803864619</v>
      </c>
      <c r="K14" s="64">
        <f ca="1">IFERROR(RANK(Table1[[#This Row],[Preseason]],Table1[Preseason]),"")</f>
        <v>11</v>
      </c>
    </row>
    <row r="15" spans="1:11" x14ac:dyDescent="0.3">
      <c r="A15" s="64">
        <f ca="1">RANK(Table1[[#This Row],[Composite]],Table1[Composite])</f>
        <v>14</v>
      </c>
      <c r="B15" s="67" t="str">
        <f>'Adj Data'!A16</f>
        <v>Indiana</v>
      </c>
      <c r="C15" s="44">
        <f ca="1">'Adj Data'!G16</f>
        <v>87.652105327360545</v>
      </c>
      <c r="D15" s="44">
        <f ca="1">'Adj Data'!B16</f>
        <v>87.110559492906745</v>
      </c>
      <c r="E15" s="64">
        <f ca="1">RANK(Table1[[#This Row],[Kenpom]],Table1[Kenpom])</f>
        <v>14</v>
      </c>
      <c r="F15" s="44">
        <f ca="1">'Adj Data'!C16</f>
        <v>87.54066126325155</v>
      </c>
      <c r="G15" s="64">
        <f ca="1">RANK(Table1[[#This Row],[PVA]],Table1[PVA])</f>
        <v>19</v>
      </c>
      <c r="H15" s="44">
        <f ca="1">'Adj Data'!D16</f>
        <v>89.52</v>
      </c>
      <c r="I15" s="64">
        <f ca="1">RANK(Table1[[#This Row],[Sagarin]],Table1[Sagarin])</f>
        <v>11</v>
      </c>
      <c r="J15" s="44">
        <f ca="1">IFERROR(AVERAGE('Adj Data'!E16,'Adj Data'!F16),"")</f>
        <v>87.044652940322223</v>
      </c>
      <c r="K15" s="64">
        <f ca="1">IFERROR(RANK(Table1[[#This Row],[Preseason]],Table1[Preseason]),"")</f>
        <v>15</v>
      </c>
    </row>
    <row r="16" spans="1:11" x14ac:dyDescent="0.3">
      <c r="A16" s="64">
        <f ca="1">RANK(Table1[[#This Row],[Composite]],Table1[Composite])</f>
        <v>15</v>
      </c>
      <c r="B16" s="67" t="str">
        <f>'Adj Data'!A33</f>
        <v>Gonzaga</v>
      </c>
      <c r="C16" s="44">
        <f ca="1">'Adj Data'!G33</f>
        <v>87.639439491266955</v>
      </c>
      <c r="D16" s="44">
        <f ca="1">'Adj Data'!B33</f>
        <v>86.310952350604737</v>
      </c>
      <c r="E16" s="64">
        <f ca="1">RANK(Table1[[#This Row],[Kenpom]],Table1[Kenpom])</f>
        <v>21</v>
      </c>
      <c r="F16" s="44">
        <f ca="1">'Adj Data'!C33</f>
        <v>86.248237340614153</v>
      </c>
      <c r="G16" s="64">
        <f ca="1">RANK(Table1[[#This Row],[PVA]],Table1[PVA])</f>
        <v>23</v>
      </c>
      <c r="H16" s="44">
        <f ca="1">'Adj Data'!D33</f>
        <v>87.38</v>
      </c>
      <c r="I16" s="64">
        <f ca="1">RANK(Table1[[#This Row],[Sagarin]],Table1[Sagarin])</f>
        <v>21</v>
      </c>
      <c r="J16" s="44">
        <f ca="1">IFERROR(AVERAGE('Adj Data'!E33,'Adj Data'!F33),"")</f>
        <v>89.129003882557953</v>
      </c>
      <c r="K16" s="64">
        <f ca="1">IFERROR(RANK(Table1[[#This Row],[Preseason]],Table1[Preseason]),"")</f>
        <v>10</v>
      </c>
    </row>
    <row r="17" spans="1:11" x14ac:dyDescent="0.3">
      <c r="A17" s="64">
        <f ca="1">RANK(Table1[[#This Row],[Composite]],Table1[Composite])</f>
        <v>16</v>
      </c>
      <c r="B17" s="67" t="str">
        <f>'Adj Data'!A10</f>
        <v>West Virginia</v>
      </c>
      <c r="C17" s="44">
        <f ca="1">'Adj Data'!G10</f>
        <v>87.16882468011562</v>
      </c>
      <c r="D17" s="44">
        <f ca="1">'Adj Data'!B10</f>
        <v>87.521678259467677</v>
      </c>
      <c r="E17" s="64">
        <f ca="1">RANK(Table1[[#This Row],[Kenpom]],Table1[Kenpom])</f>
        <v>10</v>
      </c>
      <c r="F17" s="44">
        <f ca="1">'Adj Data'!C10</f>
        <v>90.383993893053827</v>
      </c>
      <c r="G17" s="64">
        <f ca="1">RANK(Table1[[#This Row],[PVA]],Table1[PVA])</f>
        <v>7</v>
      </c>
      <c r="H17" s="44">
        <f ca="1">'Adj Data'!D10</f>
        <v>91.01</v>
      </c>
      <c r="I17" s="64">
        <f ca="1">RANK(Table1[[#This Row],[Sagarin]],Table1[Sagarin])</f>
        <v>6</v>
      </c>
      <c r="J17" s="44">
        <f ca="1">IFERROR(AVERAGE('Adj Data'!E10,'Adj Data'!F10),"")</f>
        <v>83.464225624028302</v>
      </c>
      <c r="K17" s="64">
        <f ca="1">IFERROR(RANK(Table1[[#This Row],[Preseason]],Table1[Preseason]),"")</f>
        <v>26</v>
      </c>
    </row>
    <row r="18" spans="1:11" x14ac:dyDescent="0.3">
      <c r="A18" s="64">
        <f ca="1">RANK(Table1[[#This Row],[Composite]],Table1[Composite])</f>
        <v>19</v>
      </c>
      <c r="B18" s="67" t="str">
        <f>'Adj Data'!A19</f>
        <v>Purdue</v>
      </c>
      <c r="C18" s="44">
        <f ca="1">'Adj Data'!G19</f>
        <v>86.880994021354354</v>
      </c>
      <c r="D18" s="44">
        <f ca="1">'Adj Data'!B19</f>
        <v>87.163363738153095</v>
      </c>
      <c r="E18" s="64">
        <f ca="1">RANK(Table1[[#This Row],[Kenpom]],Table1[Kenpom])</f>
        <v>13</v>
      </c>
      <c r="F18" s="44">
        <f ca="1">'Adj Data'!C19</f>
        <v>89.350054754943898</v>
      </c>
      <c r="G18" s="64">
        <f ca="1">RANK(Table1[[#This Row],[PVA]],Table1[PVA])</f>
        <v>12</v>
      </c>
      <c r="H18" s="44">
        <f ca="1">'Adj Data'!D19</f>
        <v>90.15</v>
      </c>
      <c r="I18" s="64">
        <f ca="1">RANK(Table1[[#This Row],[Sagarin]],Table1[Sagarin])</f>
        <v>9</v>
      </c>
      <c r="J18" s="44">
        <f ca="1">IFERROR(AVERAGE('Adj Data'!E19,'Adj Data'!F19),"")</f>
        <v>83.870775806837401</v>
      </c>
      <c r="K18" s="64">
        <f ca="1">IFERROR(RANK(Table1[[#This Row],[Preseason]],Table1[Preseason]),"")</f>
        <v>24</v>
      </c>
    </row>
    <row r="19" spans="1:11" x14ac:dyDescent="0.3">
      <c r="A19" s="64">
        <f ca="1">RANK(Table1[[#This Row],[Composite]],Table1[Composite])</f>
        <v>17</v>
      </c>
      <c r="B19" s="67" t="str">
        <f>'Adj Data'!A22</f>
        <v>SMU</v>
      </c>
      <c r="C19" s="44">
        <f ca="1">'Adj Data'!G22</f>
        <v>86.931979482615873</v>
      </c>
      <c r="D19" s="44">
        <f ca="1">'Adj Data'!B22</f>
        <v>86.771103630608735</v>
      </c>
      <c r="E19" s="64">
        <f ca="1">RANK(Table1[[#This Row],[Kenpom]],Table1[Kenpom])</f>
        <v>17</v>
      </c>
      <c r="F19" s="44">
        <f ca="1">'Adj Data'!C22</f>
        <v>89.608539539471394</v>
      </c>
      <c r="G19" s="64">
        <f ca="1">RANK(Table1[[#This Row],[PVA]],Table1[PVA])</f>
        <v>9</v>
      </c>
      <c r="H19" s="44">
        <f ca="1">'Adj Data'!D22</f>
        <v>88.29</v>
      </c>
      <c r="I19" s="64">
        <f ca="1">RANK(Table1[[#This Row],[Sagarin]],Table1[Sagarin])</f>
        <v>17</v>
      </c>
      <c r="J19" s="44">
        <f ca="1">IFERROR(AVERAGE('Adj Data'!E22,'Adj Data'!F22),"")</f>
        <v>83.058274760383384</v>
      </c>
      <c r="K19" s="64">
        <f ca="1">IFERROR(RANK(Table1[[#This Row],[Preseason]],Table1[Preseason]),"")</f>
        <v>28</v>
      </c>
    </row>
    <row r="20" spans="1:11" x14ac:dyDescent="0.3">
      <c r="A20" s="64">
        <f ca="1">RANK(Table1[[#This Row],[Composite]],Table1[Composite])</f>
        <v>18</v>
      </c>
      <c r="B20" s="67" t="str">
        <f>'Adj Data'!A8</f>
        <v>Louisville</v>
      </c>
      <c r="C20" s="44">
        <f ca="1">'Adj Data'!G8</f>
        <v>86.891113476536006</v>
      </c>
      <c r="D20" s="44">
        <f ca="1">'Adj Data'!B8</f>
        <v>87.378352450941847</v>
      </c>
      <c r="E20" s="64">
        <f ca="1">RANK(Table1[[#This Row],[Kenpom]],Table1[Kenpom])</f>
        <v>11</v>
      </c>
      <c r="F20" s="44">
        <f ca="1">'Adj Data'!C8</f>
        <v>89.996266716262596</v>
      </c>
      <c r="G20" s="64">
        <f ca="1">RANK(Table1[[#This Row],[PVA]],Table1[PVA])</f>
        <v>8</v>
      </c>
      <c r="H20" s="44">
        <f ca="1">'Adj Data'!D8</f>
        <v>90.86</v>
      </c>
      <c r="I20" s="64">
        <f ca="1">RANK(Table1[[#This Row],[Sagarin]],Table1[Sagarin])</f>
        <v>7</v>
      </c>
      <c r="J20" s="44">
        <f ca="1">IFERROR(AVERAGE('Adj Data'!E8,'Adj Data'!F8),"")</f>
        <v>83.110474107737787</v>
      </c>
      <c r="K20" s="64">
        <f ca="1">IFERROR(RANK(Table1[[#This Row],[Preseason]],Table1[Preseason]),"")</f>
        <v>27</v>
      </c>
    </row>
    <row r="21" spans="1:11" x14ac:dyDescent="0.3">
      <c r="A21" s="64">
        <f ca="1">RANK(Table1[[#This Row],[Composite]],Table1[Composite])</f>
        <v>20</v>
      </c>
      <c r="B21" s="67" t="str">
        <f>'Adj Data'!A28</f>
        <v>Cal</v>
      </c>
      <c r="C21" s="44">
        <f ca="1">'Adj Data'!G28</f>
        <v>86.50075035074191</v>
      </c>
      <c r="D21" s="44">
        <f ca="1">'Adj Data'!B28</f>
        <v>85.590551576172288</v>
      </c>
      <c r="E21" s="64">
        <f ca="1">RANK(Table1[[#This Row],[Kenpom]],Table1[Kenpom])</f>
        <v>27</v>
      </c>
      <c r="F21" s="44">
        <f ca="1">'Adj Data'!C28</f>
        <v>86.894449301932852</v>
      </c>
      <c r="G21" s="64">
        <f ca="1">RANK(Table1[[#This Row],[PVA]],Table1[PVA])</f>
        <v>21</v>
      </c>
      <c r="H21" s="44">
        <f ca="1">'Adj Data'!D28</f>
        <v>85.38</v>
      </c>
      <c r="I21" s="64">
        <f ca="1">RANK(Table1[[#This Row],[Sagarin]],Table1[Sagarin])</f>
        <v>29</v>
      </c>
      <c r="J21" s="44">
        <f ca="1">IFERROR(AVERAGE('Adj Data'!E28,'Adj Data'!F28),"")</f>
        <v>87.319375437802194</v>
      </c>
      <c r="K21" s="64">
        <f ca="1">IFERROR(RANK(Table1[[#This Row],[Preseason]],Table1[Preseason]),"")</f>
        <v>14</v>
      </c>
    </row>
    <row r="22" spans="1:11" x14ac:dyDescent="0.3">
      <c r="A22" s="64">
        <f ca="1">RANK(Table1[[#This Row],[Composite]],Table1[Composite])</f>
        <v>22</v>
      </c>
      <c r="B22" s="67" t="str">
        <f>'Adj Data'!A20</f>
        <v>Oregon</v>
      </c>
      <c r="C22" s="44">
        <f ca="1">'Adj Data'!G20</f>
        <v>85.964412308741572</v>
      </c>
      <c r="D22" s="44">
        <f ca="1">'Adj Data'!B20</f>
        <v>87.600884627337223</v>
      </c>
      <c r="E22" s="64">
        <f ca="1">RANK(Table1[[#This Row],[Kenpom]],Table1[Kenpom])</f>
        <v>9</v>
      </c>
      <c r="F22" s="44">
        <f ca="1">'Adj Data'!C20</f>
        <v>88.574600401361465</v>
      </c>
      <c r="G22" s="64">
        <f ca="1">RANK(Table1[[#This Row],[PVA]],Table1[PVA])</f>
        <v>16</v>
      </c>
      <c r="H22" s="44">
        <f ca="1">'Adj Data'!D20</f>
        <v>87.8</v>
      </c>
      <c r="I22" s="64">
        <f ca="1">RANK(Table1[[#This Row],[Sagarin]],Table1[Sagarin])</f>
        <v>19</v>
      </c>
      <c r="J22" s="44">
        <f ca="1">IFERROR(AVERAGE('Adj Data'!E20,'Adj Data'!F20),"")</f>
        <v>82.923288257504566</v>
      </c>
      <c r="K22" s="64">
        <f ca="1">IFERROR(RANK(Table1[[#This Row],[Preseason]],Table1[Preseason]),"")</f>
        <v>30</v>
      </c>
    </row>
    <row r="23" spans="1:11" x14ac:dyDescent="0.3">
      <c r="A23" s="64">
        <f ca="1">RANK(Table1[[#This Row],[Composite]],Table1[Composite])</f>
        <v>21</v>
      </c>
      <c r="B23" s="67" t="str">
        <f>'Adj Data'!A26</f>
        <v>Texas A&amp;M</v>
      </c>
      <c r="C23" s="44">
        <f ca="1">'Adj Data'!G26</f>
        <v>86.016154046464379</v>
      </c>
      <c r="D23" s="44">
        <f ca="1">'Adj Data'!B26</f>
        <v>87.072842174873628</v>
      </c>
      <c r="E23" s="64">
        <f ca="1">RANK(Table1[[#This Row],[Kenpom]],Table1[Kenpom])</f>
        <v>16</v>
      </c>
      <c r="F23" s="44">
        <f ca="1">'Adj Data'!C26</f>
        <v>88.445358009097731</v>
      </c>
      <c r="G23" s="64">
        <f ca="1">RANK(Table1[[#This Row],[PVA]],Table1[PVA])</f>
        <v>17</v>
      </c>
      <c r="H23" s="44">
        <f ca="1">'Adj Data'!D26</f>
        <v>88.66</v>
      </c>
      <c r="I23" s="64">
        <f ca="1">RANK(Table1[[#This Row],[Sagarin]],Table1[Sagarin])</f>
        <v>13</v>
      </c>
      <c r="J23" s="44">
        <f ca="1">IFERROR(AVERAGE('Adj Data'!E26,'Adj Data'!F26),"")</f>
        <v>82.95128502417522</v>
      </c>
      <c r="K23" s="64">
        <f ca="1">IFERROR(RANK(Table1[[#This Row],[Preseason]],Table1[Preseason]),"")</f>
        <v>29</v>
      </c>
    </row>
    <row r="24" spans="1:11" x14ac:dyDescent="0.3">
      <c r="A24" s="64">
        <f ca="1">RANK(Table1[[#This Row],[Composite]],Table1[Composite])</f>
        <v>24</v>
      </c>
      <c r="B24" s="67" t="str">
        <f>'Adj Data'!A23</f>
        <v>Vanderbilt</v>
      </c>
      <c r="C24" s="44">
        <f ca="1">'Adj Data'!G23</f>
        <v>85.600240006822702</v>
      </c>
      <c r="D24" s="44">
        <f ca="1">'Adj Data'!B23</f>
        <v>85.285041300104069</v>
      </c>
      <c r="E24" s="64">
        <f ca="1">RANK(Table1[[#This Row],[Kenpom]],Table1[Kenpom])</f>
        <v>30</v>
      </c>
      <c r="F24" s="44">
        <f ca="1">'Adj Data'!C23</f>
        <v>85.989752556086671</v>
      </c>
      <c r="G24" s="64">
        <f ca="1">RANK(Table1[[#This Row],[PVA]],Table1[PVA])</f>
        <v>24</v>
      </c>
      <c r="H24" s="44">
        <f ca="1">'Adj Data'!D23</f>
        <v>87.32</v>
      </c>
      <c r="I24" s="64">
        <f ca="1">RANK(Table1[[#This Row],[Sagarin]],Table1[Sagarin])</f>
        <v>22</v>
      </c>
      <c r="J24" s="44">
        <f ca="1">IFERROR(AVERAGE('Adj Data'!E23,'Adj Data'!F23),"")</f>
        <v>84.703203088961402</v>
      </c>
      <c r="K24" s="64">
        <f ca="1">IFERROR(RANK(Table1[[#This Row],[Preseason]],Table1[Preseason]),"")</f>
        <v>19</v>
      </c>
    </row>
    <row r="25" spans="1:11" x14ac:dyDescent="0.3">
      <c r="A25" s="64">
        <f ca="1">RANK(Table1[[#This Row],[Composite]],Table1[Composite])</f>
        <v>23</v>
      </c>
      <c r="B25" s="67" t="str">
        <f>'Adj Data'!A13</f>
        <v>Xavier</v>
      </c>
      <c r="C25" s="44">
        <f ca="1">'Adj Data'!G13</f>
        <v>85.903061411006405</v>
      </c>
      <c r="D25" s="44">
        <f ca="1">'Adj Data'!B13</f>
        <v>87.201081056186212</v>
      </c>
      <c r="E25" s="64">
        <f ca="1">RANK(Table1[[#This Row],[Kenpom]],Table1[Kenpom])</f>
        <v>12</v>
      </c>
      <c r="F25" s="44">
        <f ca="1">'Adj Data'!C13</f>
        <v>89.09156997041643</v>
      </c>
      <c r="G25" s="64">
        <f ca="1">RANK(Table1[[#This Row],[PVA]],Table1[PVA])</f>
        <v>14</v>
      </c>
      <c r="H25" s="44">
        <f ca="1">'Adj Data'!D13</f>
        <v>88.19</v>
      </c>
      <c r="I25" s="64">
        <f ca="1">RANK(Table1[[#This Row],[Sagarin]],Table1[Sagarin])</f>
        <v>18</v>
      </c>
      <c r="J25" s="44">
        <f ca="1">IFERROR(AVERAGE('Adj Data'!E13,'Adj Data'!F13),"")</f>
        <v>82.516328014214693</v>
      </c>
      <c r="K25" s="64">
        <f ca="1">IFERROR(RANK(Table1[[#This Row],[Preseason]],Table1[Preseason]),"")</f>
        <v>37</v>
      </c>
    </row>
    <row r="26" spans="1:11" x14ac:dyDescent="0.3">
      <c r="A26" s="64">
        <f ca="1">RANK(Table1[[#This Row],[Composite]],Table1[Composite])</f>
        <v>25</v>
      </c>
      <c r="B26" s="67" t="str">
        <f>'Adj Data'!A25</f>
        <v>Utah</v>
      </c>
      <c r="C26" s="44">
        <f ca="1">'Adj Data'!G25</f>
        <v>85.523567146364229</v>
      </c>
      <c r="D26" s="44">
        <f ca="1">'Adj Data'!B25</f>
        <v>85.35293247256368</v>
      </c>
      <c r="E26" s="64">
        <f ca="1">RANK(Table1[[#This Row],[Kenpom]],Table1[Kenpom])</f>
        <v>29</v>
      </c>
      <c r="F26" s="44">
        <f ca="1">'Adj Data'!C25</f>
        <v>84.955813417976756</v>
      </c>
      <c r="G26" s="64">
        <f ca="1">RANK(Table1[[#This Row],[PVA]],Table1[PVA])</f>
        <v>30</v>
      </c>
      <c r="H26" s="44">
        <f ca="1">'Adj Data'!D25</f>
        <v>85.82</v>
      </c>
      <c r="I26" s="64">
        <f ca="1">RANK(Table1[[#This Row],[Sagarin]],Table1[Sagarin])</f>
        <v>28</v>
      </c>
      <c r="J26" s="44">
        <f ca="1">IFERROR(AVERAGE('Adj Data'!E25,'Adj Data'!F25),"")</f>
        <v>85.744544920640351</v>
      </c>
      <c r="K26" s="64">
        <f ca="1">IFERROR(RANK(Table1[[#This Row],[Preseason]],Table1[Preseason]),"")</f>
        <v>16</v>
      </c>
    </row>
    <row r="27" spans="1:11" x14ac:dyDescent="0.3">
      <c r="A27" s="64">
        <f ca="1">RANK(Table1[[#This Row],[Composite]],Table1[Composite])</f>
        <v>26</v>
      </c>
      <c r="B27" s="67" t="str">
        <f>'Adj Data'!A34</f>
        <v>Seton Hall</v>
      </c>
      <c r="C27" s="44">
        <f ca="1">'Adj Data'!G34</f>
        <v>85.194618708827818</v>
      </c>
      <c r="D27" s="44">
        <f ca="1">'Adj Data'!B34</f>
        <v>85.681073139451755</v>
      </c>
      <c r="E27" s="64">
        <f ca="1">RANK(Table1[[#This Row],[Kenpom]],Table1[Kenpom])</f>
        <v>26</v>
      </c>
      <c r="F27" s="44">
        <f ca="1">'Adj Data'!C34</f>
        <v>85.472782987031707</v>
      </c>
      <c r="G27" s="64">
        <f ca="1">RANK(Table1[[#This Row],[PVA]],Table1[PVA])</f>
        <v>27</v>
      </c>
      <c r="H27" s="44">
        <f ca="1">'Adj Data'!D34</f>
        <v>84.43</v>
      </c>
      <c r="I27" s="64">
        <f ca="1">RANK(Table1[[#This Row],[Sagarin]],Table1[Sagarin])</f>
        <v>35</v>
      </c>
      <c r="J27" s="44" t="str">
        <f ca="1">IFERROR(AVERAGE('Adj Data'!E34,'Adj Data'!F34),"")</f>
        <v/>
      </c>
      <c r="K27" s="64" t="str">
        <f ca="1">IFERROR(RANK(Table1[[#This Row],[Preseason]],Table1[Preseason]),"")</f>
        <v/>
      </c>
    </row>
    <row r="28" spans="1:11" x14ac:dyDescent="0.3">
      <c r="A28" s="64">
        <f ca="1">RANK(Table1[[#This Row],[Composite]],Table1[Composite])</f>
        <v>28</v>
      </c>
      <c r="B28" s="67" t="str">
        <f>'Adj Data'!A15</f>
        <v>Iowa</v>
      </c>
      <c r="C28" s="44">
        <f ca="1">'Adj Data'!G15</f>
        <v>85.089463221213947</v>
      </c>
      <c r="D28" s="44">
        <f ca="1">'Adj Data'!B15</f>
        <v>86.22043078732527</v>
      </c>
      <c r="E28" s="64">
        <f ca="1">RANK(Table1[[#This Row],[Kenpom]],Table1[Kenpom])</f>
        <v>22</v>
      </c>
      <c r="F28" s="44">
        <f ca="1">'Adj Data'!C15</f>
        <v>86.894449301932852</v>
      </c>
      <c r="G28" s="64">
        <f ca="1">RANK(Table1[[#This Row],[PVA]],Table1[PVA])</f>
        <v>21</v>
      </c>
      <c r="H28" s="44">
        <f ca="1">'Adj Data'!D15</f>
        <v>87.58</v>
      </c>
      <c r="I28" s="64">
        <f ca="1">RANK(Table1[[#This Row],[Sagarin]],Table1[Sagarin])</f>
        <v>20</v>
      </c>
      <c r="J28" s="44">
        <f ca="1">IFERROR(AVERAGE('Adj Data'!E15,'Adj Data'!F15),"")</f>
        <v>82.3762180084058</v>
      </c>
      <c r="K28" s="64">
        <f ca="1">IFERROR(RANK(Table1[[#This Row],[Preseason]],Table1[Preseason]),"")</f>
        <v>40</v>
      </c>
    </row>
    <row r="29" spans="1:11" x14ac:dyDescent="0.3">
      <c r="A29" s="64">
        <f ca="1">RANK(Table1[[#This Row],[Composite]],Table1[Composite])</f>
        <v>27</v>
      </c>
      <c r="B29" s="67" t="str">
        <f>'Adj Data'!A24</f>
        <v>UConn</v>
      </c>
      <c r="C29" s="44">
        <f ca="1">'Adj Data'!G24</f>
        <v>85.174062336160773</v>
      </c>
      <c r="D29" s="44">
        <f ca="1">'Adj Data'!B24</f>
        <v>85.948866097486857</v>
      </c>
      <c r="E29" s="64">
        <f ca="1">RANK(Table1[[#This Row],[Kenpom]],Table1[Kenpom])</f>
        <v>23</v>
      </c>
      <c r="F29" s="44">
        <f ca="1">'Adj Data'!C24</f>
        <v>85.731267771559203</v>
      </c>
      <c r="G29" s="64">
        <f ca="1">RANK(Table1[[#This Row],[PVA]],Table1[PVA])</f>
        <v>26</v>
      </c>
      <c r="H29" s="44">
        <f ca="1">'Adj Data'!D24</f>
        <v>85.97</v>
      </c>
      <c r="I29" s="64">
        <f ca="1">RANK(Table1[[#This Row],[Sagarin]],Table1[Sagarin])</f>
        <v>26</v>
      </c>
      <c r="J29" s="44">
        <f ca="1">IFERROR(AVERAGE('Adj Data'!E24,'Adj Data'!F24),"")</f>
        <v>84.110088905878939</v>
      </c>
      <c r="K29" s="64">
        <f ca="1">IFERROR(RANK(Table1[[#This Row],[Preseason]],Table1[Preseason]),"")</f>
        <v>22</v>
      </c>
    </row>
    <row r="30" spans="1:11" x14ac:dyDescent="0.3">
      <c r="A30" s="64">
        <f ca="1">RANK(Table1[[#This Row],[Composite]],Table1[Composite])</f>
        <v>29</v>
      </c>
      <c r="B30" s="67" t="str">
        <f>'Adj Data'!A29</f>
        <v>Baylor</v>
      </c>
      <c r="C30" s="44">
        <f ca="1">'Adj Data'!G29</f>
        <v>84.920814717936196</v>
      </c>
      <c r="D30" s="44">
        <f ca="1">'Adj Data'!B29</f>
        <v>85.545290794532548</v>
      </c>
      <c r="E30" s="64">
        <f ca="1">RANK(Table1[[#This Row],[Kenpom]],Table1[Kenpom])</f>
        <v>28</v>
      </c>
      <c r="F30" s="44">
        <f ca="1">'Adj Data'!C29</f>
        <v>84.56808624118554</v>
      </c>
      <c r="G30" s="64">
        <f ca="1">RANK(Table1[[#This Row],[PVA]],Table1[PVA])</f>
        <v>32</v>
      </c>
      <c r="H30" s="44">
        <f ca="1">'Adj Data'!D29</f>
        <v>86.06</v>
      </c>
      <c r="I30" s="64">
        <f ca="1">RANK(Table1[[#This Row],[Sagarin]],Table1[Sagarin])</f>
        <v>25</v>
      </c>
      <c r="J30" s="44">
        <f ca="1">IFERROR(AVERAGE('Adj Data'!E29,'Adj Data'!F29),"")</f>
        <v>84.21534827698143</v>
      </c>
      <c r="K30" s="64">
        <f ca="1">IFERROR(RANK(Table1[[#This Row],[Preseason]],Table1[Preseason]),"")</f>
        <v>21</v>
      </c>
    </row>
    <row r="31" spans="1:11" x14ac:dyDescent="0.3">
      <c r="A31" s="64">
        <f ca="1">RANK(Table1[[#This Row],[Composite]],Table1[Composite])</f>
        <v>30</v>
      </c>
      <c r="B31" s="67" t="str">
        <f>'Adj Data'!A37</f>
        <v>Saint Mary's</v>
      </c>
      <c r="C31" s="44">
        <f ca="1">'Adj Data'!G37</f>
        <v>84.726838711226222</v>
      </c>
      <c r="D31" s="44">
        <f ca="1">'Adj Data'!B37</f>
        <v>84.443945107965646</v>
      </c>
      <c r="E31" s="64">
        <f ca="1">RANK(Table1[[#This Row],[Kenpom]],Table1[Kenpom])</f>
        <v>35</v>
      </c>
      <c r="F31" s="44">
        <f ca="1">'Adj Data'!C37</f>
        <v>84.826571025713022</v>
      </c>
      <c r="G31" s="64">
        <f ca="1">RANK(Table1[[#This Row],[PVA]],Table1[PVA])</f>
        <v>31</v>
      </c>
      <c r="H31" s="44">
        <f ca="1">'Adj Data'!D37</f>
        <v>84.91</v>
      </c>
      <c r="I31" s="64">
        <f ca="1">RANK(Table1[[#This Row],[Sagarin]],Table1[Sagarin])</f>
        <v>32</v>
      </c>
      <c r="J31" s="44" t="str">
        <f ca="1">IFERROR(AVERAGE('Adj Data'!E37,'Adj Data'!F37),"")</f>
        <v/>
      </c>
      <c r="K31" s="64" t="str">
        <f ca="1">IFERROR(RANK(Table1[[#This Row],[Preseason]],Table1[Preseason]),"")</f>
        <v/>
      </c>
    </row>
    <row r="32" spans="1:11" x14ac:dyDescent="0.3">
      <c r="A32" s="64">
        <f ca="1">RANK(Table1[[#This Row],[Composite]],Table1[Composite])</f>
        <v>33</v>
      </c>
      <c r="B32" s="67" t="str">
        <f>'Adj Data'!A31</f>
        <v>Wisconsin</v>
      </c>
      <c r="C32" s="44">
        <f ca="1">'Adj Data'!G31</f>
        <v>84.440763881138508</v>
      </c>
      <c r="D32" s="44">
        <f ca="1">'Adj Data'!B31</f>
        <v>84.749455384033865</v>
      </c>
      <c r="E32" s="64">
        <f ca="1">RANK(Table1[[#This Row],[Kenpom]],Table1[Kenpom])</f>
        <v>31</v>
      </c>
      <c r="F32" s="44">
        <f ca="1">'Adj Data'!C31</f>
        <v>83.663389495339359</v>
      </c>
      <c r="G32" s="64">
        <f ca="1">RANK(Table1[[#This Row],[PVA]],Table1[PVA])</f>
        <v>36</v>
      </c>
      <c r="H32" s="44">
        <f ca="1">'Adj Data'!D31</f>
        <v>83.72</v>
      </c>
      <c r="I32" s="64">
        <f ca="1">RANK(Table1[[#This Row],[Sagarin]],Table1[Sagarin])</f>
        <v>40</v>
      </c>
      <c r="J32" s="44">
        <f ca="1">IFERROR(AVERAGE('Adj Data'!E31,'Adj Data'!F31),"")</f>
        <v>85.035487263159695</v>
      </c>
      <c r="K32" s="64">
        <f ca="1">IFERROR(RANK(Table1[[#This Row],[Preseason]],Table1[Preseason]),"")</f>
        <v>17</v>
      </c>
    </row>
    <row r="33" spans="1:11" x14ac:dyDescent="0.3">
      <c r="A33" s="64">
        <f ca="1">RANK(Table1[[#This Row],[Composite]],Table1[Composite])</f>
        <v>31</v>
      </c>
      <c r="B33" s="67" t="str">
        <f>'Adj Data'!A40</f>
        <v>VCU</v>
      </c>
      <c r="C33" s="44">
        <f ca="1">'Adj Data'!G40</f>
        <v>84.527532931860989</v>
      </c>
      <c r="D33" s="44">
        <f ca="1">'Adj Data'!B40</f>
        <v>84.417542985342465</v>
      </c>
      <c r="E33" s="64">
        <f ca="1">RANK(Table1[[#This Row],[Kenpom]],Table1[Kenpom])</f>
        <v>36</v>
      </c>
      <c r="F33" s="44">
        <f ca="1">'Adj Data'!C40</f>
        <v>85.085055810240505</v>
      </c>
      <c r="G33" s="64">
        <f ca="1">RANK(Table1[[#This Row],[PVA]],Table1[PVA])</f>
        <v>29</v>
      </c>
      <c r="H33" s="44">
        <f ca="1">'Adj Data'!D40</f>
        <v>84.08</v>
      </c>
      <c r="I33" s="64">
        <f ca="1">RANK(Table1[[#This Row],[Sagarin]],Table1[Sagarin])</f>
        <v>38</v>
      </c>
      <c r="J33" s="44" t="str">
        <f ca="1">IFERROR(AVERAGE('Adj Data'!E40,'Adj Data'!F40),"")</f>
        <v/>
      </c>
      <c r="K33" s="64" t="str">
        <f ca="1">IFERROR(RANK(Table1[[#This Row],[Preseason]],Table1[Preseason]),"")</f>
        <v/>
      </c>
    </row>
    <row r="34" spans="1:11" x14ac:dyDescent="0.3">
      <c r="A34" s="64">
        <f ca="1">RANK(Table1[[#This Row],[Composite]],Table1[Composite])</f>
        <v>34</v>
      </c>
      <c r="B34" s="67" t="str">
        <f>'Adj Data'!A35</f>
        <v>Notre Dame</v>
      </c>
      <c r="C34" s="44">
        <f ca="1">'Adj Data'!G35</f>
        <v>84.433231185961105</v>
      </c>
      <c r="D34" s="44">
        <f ca="1">'Adj Data'!B35</f>
        <v>84.213869467963661</v>
      </c>
      <c r="E34" s="64">
        <f ca="1">RANK(Table1[[#This Row],[Kenpom]],Table1[Kenpom])</f>
        <v>40</v>
      </c>
      <c r="F34" s="44">
        <f ca="1">'Adj Data'!C35</f>
        <v>84.180359064394324</v>
      </c>
      <c r="G34" s="64">
        <f ca="1">RANK(Table1[[#This Row],[PVA]],Table1[PVA])</f>
        <v>33</v>
      </c>
      <c r="H34" s="44">
        <f ca="1">'Adj Data'!D35</f>
        <v>84.32</v>
      </c>
      <c r="I34" s="64">
        <f ca="1">RANK(Table1[[#This Row],[Sagarin]],Table1[Sagarin])</f>
        <v>36</v>
      </c>
      <c r="J34" s="44">
        <f ca="1">IFERROR(AVERAGE('Adj Data'!E35,'Adj Data'!F35),"")</f>
        <v>84.725963698723746</v>
      </c>
      <c r="K34" s="64">
        <f ca="1">IFERROR(RANK(Table1[[#This Row],[Preseason]],Table1[Preseason]),"")</f>
        <v>18</v>
      </c>
    </row>
    <row r="35" spans="1:11" x14ac:dyDescent="0.3">
      <c r="A35" s="64">
        <f ca="1">RANK(Table1[[#This Row],[Composite]],Table1[Composite])</f>
        <v>36</v>
      </c>
      <c r="B35" s="67" t="str">
        <f>'Adj Data'!A30</f>
        <v>Cincinnati</v>
      </c>
      <c r="C35" s="44">
        <f ca="1">'Adj Data'!G30</f>
        <v>84.209690776223823</v>
      </c>
      <c r="D35" s="44">
        <f ca="1">'Adj Data'!B30</f>
        <v>84.685335943377567</v>
      </c>
      <c r="E35" s="64">
        <f ca="1">RANK(Table1[[#This Row],[Kenpom]],Table1[Kenpom])</f>
        <v>32</v>
      </c>
      <c r="F35" s="44">
        <f ca="1">'Adj Data'!C30</f>
        <v>85.472782987031707</v>
      </c>
      <c r="G35" s="64">
        <f ca="1">RANK(Table1[[#This Row],[PVA]],Table1[PVA])</f>
        <v>27</v>
      </c>
      <c r="H35" s="44">
        <f ca="1">'Adj Data'!D30</f>
        <v>85.26</v>
      </c>
      <c r="I35" s="64">
        <f ca="1">RANK(Table1[[#This Row],[Sagarin]],Table1[Sagarin])</f>
        <v>30</v>
      </c>
      <c r="J35" s="44">
        <f ca="1">IFERROR(AVERAGE('Adj Data'!E30,'Adj Data'!F30),"")</f>
        <v>82.81516747535494</v>
      </c>
      <c r="K35" s="64">
        <f ca="1">IFERROR(RANK(Table1[[#This Row],[Preseason]],Table1[Preseason]),"")</f>
        <v>31</v>
      </c>
    </row>
    <row r="36" spans="1:11" x14ac:dyDescent="0.3">
      <c r="A36" s="64">
        <f ca="1">RANK(Table1[[#This Row],[Composite]],Table1[Composite])</f>
        <v>35</v>
      </c>
      <c r="B36" s="67" t="str">
        <f>'Adj Data'!A39</f>
        <v>Butler</v>
      </c>
      <c r="C36" s="44">
        <f ca="1">'Adj Data'!G39</f>
        <v>84.412087847058004</v>
      </c>
      <c r="D36" s="44">
        <f ca="1">'Adj Data'!B39</f>
        <v>84.383597399112659</v>
      </c>
      <c r="E36" s="64">
        <f ca="1">RANK(Table1[[#This Row],[Kenpom]],Table1[Kenpom])</f>
        <v>37</v>
      </c>
      <c r="F36" s="44">
        <f ca="1">'Adj Data'!C39</f>
        <v>83.792631887603108</v>
      </c>
      <c r="G36" s="64">
        <f ca="1">RANK(Table1[[#This Row],[PVA]],Table1[PVA])</f>
        <v>35</v>
      </c>
      <c r="H36" s="44">
        <f ca="1">'Adj Data'!D39</f>
        <v>85.92</v>
      </c>
      <c r="I36" s="64">
        <f ca="1">RANK(Table1[[#This Row],[Sagarin]],Table1[Sagarin])</f>
        <v>27</v>
      </c>
      <c r="J36" s="44">
        <f ca="1">IFERROR(AVERAGE('Adj Data'!E39,'Adj Data'!F39),"")</f>
        <v>83.982104974287125</v>
      </c>
      <c r="K36" s="64">
        <f ca="1">IFERROR(RANK(Table1[[#This Row],[Preseason]],Table1[Preseason]),"")</f>
        <v>23</v>
      </c>
    </row>
    <row r="37" spans="1:11" x14ac:dyDescent="0.3">
      <c r="A37" s="64">
        <f ca="1">RANK(Table1[[#This Row],[Composite]],Table1[Composite])</f>
        <v>32</v>
      </c>
      <c r="B37" s="67" t="str">
        <f>'Adj Data'!A44</f>
        <v>Florida</v>
      </c>
      <c r="C37" s="44">
        <f ca="1">'Adj Data'!G44</f>
        <v>84.471500200402986</v>
      </c>
      <c r="D37" s="44">
        <f ca="1">'Adj Data'!B44</f>
        <v>84.044141536814649</v>
      </c>
      <c r="E37" s="64">
        <f ca="1">RANK(Table1[[#This Row],[Kenpom]],Table1[Kenpom])</f>
        <v>42</v>
      </c>
      <c r="F37" s="44">
        <f ca="1">'Adj Data'!C44</f>
        <v>84.180359064394324</v>
      </c>
      <c r="G37" s="64">
        <f ca="1">RANK(Table1[[#This Row],[PVA]],Table1[PVA])</f>
        <v>33</v>
      </c>
      <c r="H37" s="44">
        <f ca="1">'Adj Data'!D44</f>
        <v>85.19</v>
      </c>
      <c r="I37" s="64">
        <f ca="1">RANK(Table1[[#This Row],[Sagarin]],Table1[Sagarin])</f>
        <v>31</v>
      </c>
      <c r="J37" s="44" t="str">
        <f ca="1">IFERROR(AVERAGE('Adj Data'!E44,'Adj Data'!F44),"")</f>
        <v/>
      </c>
      <c r="K37" s="64" t="str">
        <f ca="1">IFERROR(RANK(Table1[[#This Row],[Preseason]],Table1[Preseason]),"")</f>
        <v/>
      </c>
    </row>
    <row r="38" spans="1:11" x14ac:dyDescent="0.3">
      <c r="A38" s="64">
        <f ca="1">RANK(Table1[[#This Row],[Composite]],Table1[Composite])</f>
        <v>39</v>
      </c>
      <c r="B38" s="67" t="str">
        <f>'Adj Data'!A27</f>
        <v>Texas</v>
      </c>
      <c r="C38" s="44">
        <f ca="1">'Adj Data'!G27</f>
        <v>83.579247050134981</v>
      </c>
      <c r="D38" s="44">
        <f ca="1">'Adj Data'!B27</f>
        <v>84.553325330261686</v>
      </c>
      <c r="E38" s="64">
        <f ca="1">RANK(Table1[[#This Row],[Kenpom]],Table1[Kenpom])</f>
        <v>34</v>
      </c>
      <c r="F38" s="44">
        <f ca="1">'Adj Data'!C27</f>
        <v>83.663389495339359</v>
      </c>
      <c r="G38" s="64">
        <f ca="1">RANK(Table1[[#This Row],[PVA]],Table1[PVA])</f>
        <v>36</v>
      </c>
      <c r="H38" s="44">
        <f ca="1">'Adj Data'!D27</f>
        <v>84.55</v>
      </c>
      <c r="I38" s="64">
        <f ca="1">RANK(Table1[[#This Row],[Sagarin]],Table1[Sagarin])</f>
        <v>34</v>
      </c>
      <c r="J38" s="44">
        <f ca="1">IFERROR(AVERAGE('Adj Data'!E27,'Adj Data'!F27),"")</f>
        <v>82.564760212536953</v>
      </c>
      <c r="K38" s="64">
        <f ca="1">IFERROR(RANK(Table1[[#This Row],[Preseason]],Table1[Preseason]),"")</f>
        <v>35</v>
      </c>
    </row>
    <row r="39" spans="1:11" x14ac:dyDescent="0.3">
      <c r="A39" s="64">
        <f ca="1">RANK(Table1[[#This Row],[Composite]],Table1[Composite])</f>
        <v>38</v>
      </c>
      <c r="B39" s="67" t="str">
        <f>'Adj Data'!A48</f>
        <v>Pitt</v>
      </c>
      <c r="C39" s="44">
        <f ca="1">'Adj Data'!G48</f>
        <v>83.736812116243726</v>
      </c>
      <c r="D39" s="44">
        <f ca="1">'Adj Data'!B48</f>
        <v>83.542501206974237</v>
      </c>
      <c r="E39" s="64">
        <f ca="1">RANK(Table1[[#This Row],[Kenpom]],Table1[Kenpom])</f>
        <v>46</v>
      </c>
      <c r="F39" s="44">
        <f ca="1">'Adj Data'!C48</f>
        <v>82.887935141756927</v>
      </c>
      <c r="G39" s="64">
        <f ca="1">RANK(Table1[[#This Row],[PVA]],Table1[PVA])</f>
        <v>43</v>
      </c>
      <c r="H39" s="44">
        <f ca="1">'Adj Data'!D48</f>
        <v>84.78</v>
      </c>
      <c r="I39" s="64">
        <f ca="1">RANK(Table1[[#This Row],[Sagarin]],Table1[Sagarin])</f>
        <v>33</v>
      </c>
      <c r="J39" s="44" t="str">
        <f ca="1">IFERROR(AVERAGE('Adj Data'!E48,'Adj Data'!F48),"")</f>
        <v/>
      </c>
      <c r="K39" s="64" t="str">
        <f ca="1">IFERROR(RANK(Table1[[#This Row],[Preseason]],Table1[Preseason]),"")</f>
        <v/>
      </c>
    </row>
    <row r="40" spans="1:11" x14ac:dyDescent="0.3">
      <c r="A40" s="64">
        <f ca="1">RANK(Table1[[#This Row],[Composite]],Table1[Composite])</f>
        <v>37</v>
      </c>
      <c r="B40" s="67" t="str">
        <f>'Adj Data'!A43</f>
        <v>Syracuse</v>
      </c>
      <c r="C40" s="44">
        <f ca="1">'Adj Data'!G43</f>
        <v>84.011659957516585</v>
      </c>
      <c r="D40" s="44">
        <f ca="1">'Adj Data'!B43</f>
        <v>84.64007516173784</v>
      </c>
      <c r="E40" s="64">
        <f ca="1">RANK(Table1[[#This Row],[Kenpom]],Table1[Kenpom])</f>
        <v>33</v>
      </c>
      <c r="F40" s="44">
        <f ca="1">'Adj Data'!C43</f>
        <v>83.404904710811877</v>
      </c>
      <c r="G40" s="64">
        <f ca="1">RANK(Table1[[#This Row],[PVA]],Table1[PVA])</f>
        <v>38</v>
      </c>
      <c r="H40" s="44">
        <f ca="1">'Adj Data'!D43</f>
        <v>83.99</v>
      </c>
      <c r="I40" s="64">
        <f ca="1">RANK(Table1[[#This Row],[Sagarin]],Table1[Sagarin])</f>
        <v>39</v>
      </c>
      <c r="J40" s="44" t="str">
        <f ca="1">IFERROR(AVERAGE('Adj Data'!E43,'Adj Data'!F43),"")</f>
        <v/>
      </c>
      <c r="K40" s="64" t="str">
        <f ca="1">IFERROR(RANK(Table1[[#This Row],[Preseason]],Table1[Preseason]),"")</f>
        <v/>
      </c>
    </row>
    <row r="41" spans="1:11" x14ac:dyDescent="0.3">
      <c r="A41" s="64">
        <f ca="1">RANK(Table1[[#This Row],[Composite]],Table1[Composite])</f>
        <v>40</v>
      </c>
      <c r="B41" s="67" t="str">
        <f>'Adj Data'!A36</f>
        <v>Saint Joseph's</v>
      </c>
      <c r="C41" s="44">
        <f ca="1">'Adj Data'!G36</f>
        <v>83.200844153535726</v>
      </c>
      <c r="D41" s="44">
        <f ca="1">'Adj Data'!B36</f>
        <v>83.866870142059014</v>
      </c>
      <c r="E41" s="64">
        <f ca="1">RANK(Table1[[#This Row],[Kenpom]],Table1[Kenpom])</f>
        <v>44</v>
      </c>
      <c r="F41" s="44">
        <f ca="1">'Adj Data'!C36</f>
        <v>83.275662318548143</v>
      </c>
      <c r="G41" s="64">
        <f ca="1">RANK(Table1[[#This Row],[PVA]],Table1[PVA])</f>
        <v>40</v>
      </c>
      <c r="H41" s="44">
        <f ca="1">'Adj Data'!D36</f>
        <v>82.46</v>
      </c>
      <c r="I41" s="64">
        <f ca="1">RANK(Table1[[#This Row],[Sagarin]],Table1[Sagarin])</f>
        <v>48</v>
      </c>
      <c r="J41" s="44" t="str">
        <f ca="1">IFERROR(AVERAGE('Adj Data'!E36,'Adj Data'!F36),"")</f>
        <v/>
      </c>
      <c r="K41" s="64" t="str">
        <f ca="1">IFERROR(RANK(Table1[[#This Row],[Preseason]],Table1[Preseason]),"")</f>
        <v/>
      </c>
    </row>
    <row r="42" spans="1:11" x14ac:dyDescent="0.3">
      <c r="A42" s="64">
        <f ca="1">RANK(Table1[[#This Row],[Composite]],Table1[Composite])</f>
        <v>41</v>
      </c>
      <c r="B42" s="67" t="str">
        <f>'Adj Data'!A32</f>
        <v>Valparaiso</v>
      </c>
      <c r="C42" s="44">
        <f ca="1">'Adj Data'!G32</f>
        <v>83.160724691341258</v>
      </c>
      <c r="D42" s="44">
        <f ca="1">'Adj Data'!B32</f>
        <v>84.240271590586843</v>
      </c>
      <c r="E42" s="64">
        <f ca="1">RANK(Table1[[#This Row],[Kenpom]],Table1[Kenpom])</f>
        <v>39</v>
      </c>
      <c r="F42" s="44">
        <f ca="1">'Adj Data'!C32</f>
        <v>83.275662318548143</v>
      </c>
      <c r="G42" s="64">
        <f ca="1">RANK(Table1[[#This Row],[PVA]],Table1[PVA])</f>
        <v>40</v>
      </c>
      <c r="H42" s="44">
        <f ca="1">'Adj Data'!D32</f>
        <v>82.79</v>
      </c>
      <c r="I42" s="64">
        <f ca="1">RANK(Table1[[#This Row],[Sagarin]],Table1[Sagarin])</f>
        <v>44</v>
      </c>
      <c r="J42" s="44">
        <f ca="1">IFERROR(AVERAGE('Adj Data'!E32,'Adj Data'!F32),"")</f>
        <v>82.33696485623004</v>
      </c>
      <c r="K42" s="64">
        <f ca="1">IFERROR(RANK(Table1[[#This Row],[Preseason]],Table1[Preseason]),"")</f>
        <v>45</v>
      </c>
    </row>
    <row r="43" spans="1:11" x14ac:dyDescent="0.3">
      <c r="A43" s="64">
        <f ca="1">RANK(Table1[[#This Row],[Composite]],Table1[Composite])</f>
        <v>43</v>
      </c>
      <c r="B43" s="67" t="str">
        <f>'Adj Data'!A47</f>
        <v>USC</v>
      </c>
      <c r="C43" s="44">
        <f ca="1">'Adj Data'!G47</f>
        <v>83.029747314056081</v>
      </c>
      <c r="D43" s="44">
        <f ca="1">'Adj Data'!B47</f>
        <v>82.901306800411319</v>
      </c>
      <c r="E43" s="64">
        <f ca="1">RANK(Table1[[#This Row],[Kenpom]],Table1[Kenpom])</f>
        <v>51</v>
      </c>
      <c r="F43" s="44">
        <f ca="1">'Adj Data'!C47</f>
        <v>82.887935141756927</v>
      </c>
      <c r="G43" s="64">
        <f ca="1">RANK(Table1[[#This Row],[PVA]],Table1[PVA])</f>
        <v>43</v>
      </c>
      <c r="H43" s="44">
        <f ca="1">'Adj Data'!D47</f>
        <v>83.3</v>
      </c>
      <c r="I43" s="64">
        <f ca="1">RANK(Table1[[#This Row],[Sagarin]],Table1[Sagarin])</f>
        <v>42</v>
      </c>
      <c r="J43" s="44" t="str">
        <f ca="1">IFERROR(AVERAGE('Adj Data'!E47,'Adj Data'!F47),"")</f>
        <v/>
      </c>
      <c r="K43" s="64" t="str">
        <f ca="1">IFERROR(RANK(Table1[[#This Row],[Preseason]],Table1[Preseason]),"")</f>
        <v/>
      </c>
    </row>
    <row r="44" spans="1:11" x14ac:dyDescent="0.3">
      <c r="A44" s="64">
        <f ca="1">RANK(Table1[[#This Row],[Composite]],Table1[Composite])</f>
        <v>45</v>
      </c>
      <c r="B44" s="67" t="str">
        <f>'Adj Data'!A45</f>
        <v>Michigan</v>
      </c>
      <c r="C44" s="44">
        <f ca="1">'Adj Data'!G45</f>
        <v>82.900625994065237</v>
      </c>
      <c r="D44" s="44">
        <f ca="1">'Adj Data'!B45</f>
        <v>82.203536416798727</v>
      </c>
      <c r="E44" s="64">
        <f ca="1">RANK(Table1[[#This Row],[Kenpom]],Table1[Kenpom])</f>
        <v>57</v>
      </c>
      <c r="F44" s="44">
        <f ca="1">'Adj Data'!C45</f>
        <v>81.207784042328313</v>
      </c>
      <c r="G44" s="64">
        <f ca="1">RANK(Table1[[#This Row],[PVA]],Table1[PVA])</f>
        <v>56</v>
      </c>
      <c r="H44" s="44">
        <f ca="1">'Adj Data'!D45</f>
        <v>84.12</v>
      </c>
      <c r="I44" s="64">
        <f ca="1">RANK(Table1[[#This Row],[Sagarin]],Table1[Sagarin])</f>
        <v>37</v>
      </c>
      <c r="J44" s="44">
        <f ca="1">IFERROR(AVERAGE('Adj Data'!E45,'Adj Data'!F45),"")</f>
        <v>83.485904755599591</v>
      </c>
      <c r="K44" s="64">
        <f ca="1">IFERROR(RANK(Table1[[#This Row],[Preseason]],Table1[Preseason]),"")</f>
        <v>25</v>
      </c>
    </row>
    <row r="45" spans="1:11" x14ac:dyDescent="0.3">
      <c r="A45" s="64">
        <f ca="1">RANK(Table1[[#This Row],[Composite]],Table1[Composite])</f>
        <v>47</v>
      </c>
      <c r="B45" s="67" t="str">
        <f>'Adj Data'!A38</f>
        <v>Texas Tech</v>
      </c>
      <c r="C45" s="44">
        <f ca="1">'Adj Data'!G38</f>
        <v>82.538995141945819</v>
      </c>
      <c r="D45" s="44">
        <f ca="1">'Adj Data'!B38</f>
        <v>82.897535068608008</v>
      </c>
      <c r="E45" s="64">
        <f ca="1">RANK(Table1[[#This Row],[Kenpom]],Table1[Kenpom])</f>
        <v>52</v>
      </c>
      <c r="F45" s="44">
        <f ca="1">'Adj Data'!C38</f>
        <v>82.629450357229445</v>
      </c>
      <c r="G45" s="64">
        <f ca="1">RANK(Table1[[#This Row],[PVA]],Table1[PVA])</f>
        <v>46</v>
      </c>
      <c r="H45" s="44">
        <f ca="1">'Adj Data'!D38</f>
        <v>82.09</v>
      </c>
      <c r="I45" s="64">
        <f ca="1">RANK(Table1[[#This Row],[Sagarin]],Table1[Sagarin])</f>
        <v>53</v>
      </c>
      <c r="J45" s="44" t="str">
        <f ca="1">IFERROR(AVERAGE('Adj Data'!E38,'Adj Data'!F38),"")</f>
        <v/>
      </c>
      <c r="K45" s="64" t="str">
        <f ca="1">IFERROR(RANK(Table1[[#This Row],[Preseason]],Table1[Preseason]),"")</f>
        <v/>
      </c>
    </row>
    <row r="46" spans="1:11" x14ac:dyDescent="0.3">
      <c r="A46" s="64">
        <f ca="1">RANK(Table1[[#This Row],[Composite]],Table1[Composite])</f>
        <v>42</v>
      </c>
      <c r="B46" s="67" t="str">
        <f>'Adj Data'!A53</f>
        <v>South Carolina</v>
      </c>
      <c r="C46" s="44">
        <f ca="1">'Adj Data'!G53</f>
        <v>83.055164506364918</v>
      </c>
      <c r="D46" s="44">
        <f ca="1">'Adj Data'!B53</f>
        <v>83.21058880828285</v>
      </c>
      <c r="E46" s="64">
        <f ca="1">RANK(Table1[[#This Row],[Kenpom]],Table1[Kenpom])</f>
        <v>48</v>
      </c>
      <c r="F46" s="44">
        <f ca="1">'Adj Data'!C53</f>
        <v>83.404904710811877</v>
      </c>
      <c r="G46" s="64">
        <f ca="1">RANK(Table1[[#This Row],[PVA]],Table1[PVA])</f>
        <v>38</v>
      </c>
      <c r="H46" s="44">
        <f ca="1">'Adj Data'!D53</f>
        <v>82.55</v>
      </c>
      <c r="I46" s="64">
        <f ca="1">RANK(Table1[[#This Row],[Sagarin]],Table1[Sagarin])</f>
        <v>46</v>
      </c>
      <c r="J46" s="44" t="str">
        <f ca="1">IFERROR(AVERAGE('Adj Data'!E53,'Adj Data'!F53),"")</f>
        <v/>
      </c>
      <c r="K46" s="64" t="str">
        <f ca="1">IFERROR(RANK(Table1[[#This Row],[Preseason]],Table1[Preseason]),"")</f>
        <v/>
      </c>
    </row>
    <row r="47" spans="1:11" x14ac:dyDescent="0.3">
      <c r="A47" s="64">
        <f ca="1">RANK(Table1[[#This Row],[Composite]],Table1[Composite])</f>
        <v>44</v>
      </c>
      <c r="B47" s="67" t="str">
        <f>'Adj Data'!A50</f>
        <v>Creighton</v>
      </c>
      <c r="C47" s="44">
        <f ca="1">'Adj Data'!G50</f>
        <v>82.974072455170059</v>
      </c>
      <c r="D47" s="44">
        <f ca="1">'Adj Data'!B50</f>
        <v>83.798978969599418</v>
      </c>
      <c r="E47" s="64">
        <f ca="1">RANK(Table1[[#This Row],[Kenpom]],Table1[Kenpom])</f>
        <v>45</v>
      </c>
      <c r="F47" s="44">
        <f ca="1">'Adj Data'!C50</f>
        <v>81.983238395910746</v>
      </c>
      <c r="G47" s="64">
        <f ca="1">RANK(Table1[[#This Row],[PVA]],Table1[PVA])</f>
        <v>49</v>
      </c>
      <c r="H47" s="44">
        <f ca="1">'Adj Data'!D50</f>
        <v>83.14</v>
      </c>
      <c r="I47" s="64">
        <f ca="1">RANK(Table1[[#This Row],[Sagarin]],Table1[Sagarin])</f>
        <v>43</v>
      </c>
      <c r="J47" s="44" t="str">
        <f ca="1">IFERROR(AVERAGE('Adj Data'!E50,'Adj Data'!F50),"")</f>
        <v/>
      </c>
      <c r="K47" s="64" t="str">
        <f ca="1">IFERROR(RANK(Table1[[#This Row],[Preseason]],Table1[Preseason]),"")</f>
        <v/>
      </c>
    </row>
    <row r="48" spans="1:11" x14ac:dyDescent="0.3">
      <c r="A48" s="64">
        <f ca="1">RANK(Table1[[#This Row],[Composite]],Table1[Composite])</f>
        <v>55</v>
      </c>
      <c r="B48" s="67" t="str">
        <f>'Adj Data'!A56</f>
        <v>Dayton</v>
      </c>
      <c r="C48" s="44">
        <f ca="1">'Adj Data'!G56</f>
        <v>82.254064184945435</v>
      </c>
      <c r="D48" s="44">
        <f ca="1">'Adj Data'!B56</f>
        <v>81.460505251546408</v>
      </c>
      <c r="E48" s="64">
        <f ca="1">RANK(Table1[[#This Row],[Kenpom]],Table1[Kenpom])</f>
        <v>64</v>
      </c>
      <c r="F48" s="44">
        <f ca="1">'Adj Data'!C56</f>
        <v>83.275662318548143</v>
      </c>
      <c r="G48" s="64">
        <f ca="1">RANK(Table1[[#This Row],[PVA]],Table1[PVA])</f>
        <v>40</v>
      </c>
      <c r="H48" s="44">
        <f ca="1">'Adj Data'!D56</f>
        <v>81.84</v>
      </c>
      <c r="I48" s="64">
        <f ca="1">RANK(Table1[[#This Row],[Sagarin]],Table1[Sagarin])</f>
        <v>57</v>
      </c>
      <c r="J48" s="44">
        <f ca="1">IFERROR(AVERAGE('Adj Data'!E56,'Adj Data'!F56),"")</f>
        <v>82.347076677316295</v>
      </c>
      <c r="K48" s="64">
        <f ca="1">IFERROR(RANK(Table1[[#This Row],[Preseason]],Table1[Preseason]),"")</f>
        <v>44</v>
      </c>
    </row>
    <row r="49" spans="1:11" x14ac:dyDescent="0.3">
      <c r="A49" s="64">
        <f ca="1">RANK(Table1[[#This Row],[Composite]],Table1[Composite])</f>
        <v>54</v>
      </c>
      <c r="B49" s="67" t="str">
        <f>'Adj Data'!A65</f>
        <v>Colorado</v>
      </c>
      <c r="C49" s="44">
        <f ca="1">'Adj Data'!G65</f>
        <v>82.336486981813252</v>
      </c>
      <c r="D49" s="44">
        <f ca="1">'Adj Data'!B65</f>
        <v>82.071525803682832</v>
      </c>
      <c r="E49" s="64">
        <f ca="1">RANK(Table1[[#This Row],[Kenpom]],Table1[Kenpom])</f>
        <v>58</v>
      </c>
      <c r="F49" s="44">
        <f ca="1">'Adj Data'!C65</f>
        <v>82.887935141756927</v>
      </c>
      <c r="G49" s="64">
        <f ca="1">RANK(Table1[[#This Row],[PVA]],Table1[PVA])</f>
        <v>43</v>
      </c>
      <c r="H49" s="44">
        <f ca="1">'Adj Data'!D65</f>
        <v>82.05</v>
      </c>
      <c r="I49" s="64">
        <f ca="1">RANK(Table1[[#This Row],[Sagarin]],Table1[Sagarin])</f>
        <v>54</v>
      </c>
      <c r="J49" s="44" t="str">
        <f ca="1">IFERROR(AVERAGE('Adj Data'!E65,'Adj Data'!F65),"")</f>
        <v/>
      </c>
      <c r="K49" s="64" t="str">
        <f ca="1">IFERROR(RANK(Table1[[#This Row],[Preseason]],Table1[Preseason]),"")</f>
        <v/>
      </c>
    </row>
    <row r="50" spans="1:11" x14ac:dyDescent="0.3">
      <c r="A50" s="64">
        <f ca="1">RANK(Table1[[#This Row],[Composite]],Table1[Composite])</f>
        <v>46</v>
      </c>
      <c r="B50" s="67" t="str">
        <f>'Adj Data'!A57</f>
        <v>Providence</v>
      </c>
      <c r="C50" s="44">
        <f ca="1">'Adj Data'!G57</f>
        <v>82.605773149718857</v>
      </c>
      <c r="D50" s="44">
        <f ca="1">'Adj Data'!B57</f>
        <v>83.512327352547757</v>
      </c>
      <c r="E50" s="64">
        <f ca="1">RANK(Table1[[#This Row],[Kenpom]],Table1[Kenpom])</f>
        <v>47</v>
      </c>
      <c r="F50" s="44">
        <f ca="1">'Adj Data'!C57</f>
        <v>82.629450357229445</v>
      </c>
      <c r="G50" s="64">
        <f ca="1">RANK(Table1[[#This Row],[PVA]],Table1[PVA])</f>
        <v>46</v>
      </c>
      <c r="H50" s="44">
        <f ca="1">'Adj Data'!D57</f>
        <v>82.15</v>
      </c>
      <c r="I50" s="64">
        <f ca="1">RANK(Table1[[#This Row],[Sagarin]],Table1[Sagarin])</f>
        <v>52</v>
      </c>
      <c r="J50" s="44">
        <f ca="1">IFERROR(AVERAGE('Adj Data'!E57,'Adj Data'!F57),"")</f>
        <v>82.368544019408517</v>
      </c>
      <c r="K50" s="64">
        <f ca="1">IFERROR(RANK(Table1[[#This Row],[Preseason]],Table1[Preseason]),"")</f>
        <v>41</v>
      </c>
    </row>
    <row r="51" spans="1:11" x14ac:dyDescent="0.3">
      <c r="A51" s="64">
        <f ca="1">RANK(Table1[[#This Row],[Composite]],Table1[Composite])</f>
        <v>51</v>
      </c>
      <c r="B51" s="67" t="str">
        <f>'Adj Data'!A46</f>
        <v>Florida State</v>
      </c>
      <c r="C51" s="44">
        <f ca="1">'Adj Data'!G46</f>
        <v>82.486968852770019</v>
      </c>
      <c r="D51" s="44">
        <f ca="1">'Adj Data'!B46</f>
        <v>82.84850255516497</v>
      </c>
      <c r="E51" s="64">
        <f ca="1">RANK(Table1[[#This Row],[Kenpom]],Table1[Kenpom])</f>
        <v>53</v>
      </c>
      <c r="F51" s="44">
        <f ca="1">'Adj Data'!C46</f>
        <v>81.983238395910746</v>
      </c>
      <c r="G51" s="64">
        <f ca="1">RANK(Table1[[#This Row],[PVA]],Table1[PVA])</f>
        <v>49</v>
      </c>
      <c r="H51" s="44">
        <f ca="1">'Adj Data'!D46</f>
        <v>82.53</v>
      </c>
      <c r="I51" s="64">
        <f ca="1">RANK(Table1[[#This Row],[Sagarin]],Table1[Sagarin])</f>
        <v>47</v>
      </c>
      <c r="J51" s="44">
        <f ca="1">IFERROR(AVERAGE('Adj Data'!E46,'Adj Data'!F46),"")</f>
        <v>82.536551656387218</v>
      </c>
      <c r="K51" s="64">
        <f ca="1">IFERROR(RANK(Table1[[#This Row],[Preseason]],Table1[Preseason]),"")</f>
        <v>36</v>
      </c>
    </row>
    <row r="52" spans="1:11" x14ac:dyDescent="0.3">
      <c r="A52" s="64">
        <f ca="1">RANK(Table1[[#This Row],[Composite]],Table1[Composite])</f>
        <v>57</v>
      </c>
      <c r="B52" s="67" t="str">
        <f>'Adj Data'!A49</f>
        <v>Kansas State</v>
      </c>
      <c r="C52" s="44">
        <f ca="1">'Adj Data'!G49</f>
        <v>82.195418946881205</v>
      </c>
      <c r="D52" s="44">
        <f ca="1">'Adj Data'!B49</f>
        <v>82.501503229260322</v>
      </c>
      <c r="E52" s="64">
        <f ca="1">RANK(Table1[[#This Row],[Kenpom]],Table1[Kenpom])</f>
        <v>55</v>
      </c>
      <c r="F52" s="44">
        <f ca="1">'Adj Data'!C49</f>
        <v>81.724753611383264</v>
      </c>
      <c r="G52" s="64">
        <f ca="1">RANK(Table1[[#This Row],[PVA]],Table1[PVA])</f>
        <v>52</v>
      </c>
      <c r="H52" s="44">
        <f ca="1">'Adj Data'!D49</f>
        <v>82.36</v>
      </c>
      <c r="I52" s="64">
        <f ca="1">RANK(Table1[[#This Row],[Sagarin]],Table1[Sagarin])</f>
        <v>49</v>
      </c>
      <c r="J52" s="44" t="str">
        <f ca="1">IFERROR(AVERAGE('Adj Data'!E49,'Adj Data'!F49),"")</f>
        <v/>
      </c>
      <c r="K52" s="64" t="str">
        <f ca="1">IFERROR(RANK(Table1[[#This Row],[Preseason]],Table1[Preseason]),"")</f>
        <v/>
      </c>
    </row>
    <row r="53" spans="1:11" x14ac:dyDescent="0.3">
      <c r="A53" s="64">
        <f ca="1">RANK(Table1[[#This Row],[Composite]],Table1[Composite])</f>
        <v>50</v>
      </c>
      <c r="B53" s="67" t="str">
        <f>'Adj Data'!A58</f>
        <v>San Diego State</v>
      </c>
      <c r="C53" s="44">
        <f ca="1">'Adj Data'!G58</f>
        <v>82.494061697968078</v>
      </c>
      <c r="D53" s="44">
        <f ca="1">'Adj Data'!B58</f>
        <v>84.078087123044455</v>
      </c>
      <c r="E53" s="64">
        <f ca="1">RANK(Table1[[#This Row],[Kenpom]],Table1[Kenpom])</f>
        <v>41</v>
      </c>
      <c r="F53" s="44">
        <f ca="1">'Adj Data'!C58</f>
        <v>81.078541650064565</v>
      </c>
      <c r="G53" s="64">
        <f ca="1">RANK(Table1[[#This Row],[PVA]],Table1[PVA])</f>
        <v>58</v>
      </c>
      <c r="H53" s="44">
        <f ca="1">'Adj Data'!D58</f>
        <v>82.56</v>
      </c>
      <c r="I53" s="64">
        <f ca="1">RANK(Table1[[#This Row],[Sagarin]],Table1[Sagarin])</f>
        <v>45</v>
      </c>
      <c r="J53" s="44">
        <f ca="1">IFERROR(AVERAGE('Adj Data'!E58,'Adj Data'!F58),"")</f>
        <v>82.376839858365656</v>
      </c>
      <c r="K53" s="64">
        <f ca="1">IFERROR(RANK(Table1[[#This Row],[Preseason]],Table1[Preseason]),"")</f>
        <v>39</v>
      </c>
    </row>
    <row r="54" spans="1:11" x14ac:dyDescent="0.3">
      <c r="A54" s="64">
        <f ca="1">RANK(Table1[[#This Row],[Composite]],Table1[Composite])</f>
        <v>52</v>
      </c>
      <c r="B54" s="67" t="str">
        <f>'Adj Data'!A51</f>
        <v>Clemson</v>
      </c>
      <c r="C54" s="44">
        <f ca="1">'Adj Data'!G51</f>
        <v>82.42262366828264</v>
      </c>
      <c r="D54" s="44">
        <f ca="1">'Adj Data'!B51</f>
        <v>83.04463260893715</v>
      </c>
      <c r="E54" s="64">
        <f ca="1">RANK(Table1[[#This Row],[Kenpom]],Table1[Kenpom])</f>
        <v>50</v>
      </c>
      <c r="F54" s="44">
        <f ca="1">'Adj Data'!C51</f>
        <v>81.983238395910746</v>
      </c>
      <c r="G54" s="64">
        <f ca="1">RANK(Table1[[#This Row],[PVA]],Table1[PVA])</f>
        <v>49</v>
      </c>
      <c r="H54" s="44">
        <f ca="1">'Adj Data'!D51</f>
        <v>82.24</v>
      </c>
      <c r="I54" s="64">
        <f ca="1">RANK(Table1[[#This Row],[Sagarin]],Table1[Sagarin])</f>
        <v>51</v>
      </c>
      <c r="J54" s="44" t="str">
        <f ca="1">IFERROR(AVERAGE('Adj Data'!E51,'Adj Data'!F51),"")</f>
        <v/>
      </c>
      <c r="K54" s="64" t="str">
        <f ca="1">IFERROR(RANK(Table1[[#This Row],[Preseason]],Table1[Preseason]),"")</f>
        <v/>
      </c>
    </row>
    <row r="55" spans="1:11" x14ac:dyDescent="0.3">
      <c r="A55" s="64">
        <f ca="1">RANK(Table1[[#This Row],[Composite]],Table1[Composite])</f>
        <v>49</v>
      </c>
      <c r="B55" s="67" t="str">
        <f>'Adj Data'!A52</f>
        <v>Yale</v>
      </c>
      <c r="C55" s="44">
        <f ca="1">'Adj Data'!G52</f>
        <v>82.512379629278868</v>
      </c>
      <c r="D55" s="44">
        <f ca="1">'Adj Data'!B52</f>
        <v>84.323249690259686</v>
      </c>
      <c r="E55" s="64">
        <f ca="1">RANK(Table1[[#This Row],[Kenpom]],Table1[Kenpom])</f>
        <v>38</v>
      </c>
      <c r="F55" s="44">
        <f ca="1">'Adj Data'!C52</f>
        <v>81.466268826855782</v>
      </c>
      <c r="G55" s="64">
        <f ca="1">RANK(Table1[[#This Row],[PVA]],Table1[PVA])</f>
        <v>54</v>
      </c>
      <c r="H55" s="44">
        <f ca="1">'Adj Data'!D52</f>
        <v>81.95</v>
      </c>
      <c r="I55" s="64">
        <f ca="1">RANK(Table1[[#This Row],[Sagarin]],Table1[Sagarin])</f>
        <v>55</v>
      </c>
      <c r="J55" s="44">
        <f ca="1">IFERROR(AVERAGE('Adj Data'!E52,'Adj Data'!F52),"")</f>
        <v>82.31</v>
      </c>
      <c r="K55" s="64">
        <f ca="1">IFERROR(RANK(Table1[[#This Row],[Preseason]],Table1[Preseason]),"")</f>
        <v>52</v>
      </c>
    </row>
    <row r="56" spans="1:11" x14ac:dyDescent="0.3">
      <c r="A56" s="64">
        <f ca="1">RANK(Table1[[#This Row],[Composite]],Table1[Composite])</f>
        <v>53</v>
      </c>
      <c r="B56" s="67" t="str">
        <f>'Adj Data'!A59</f>
        <v>BYU</v>
      </c>
      <c r="C56" s="44">
        <f ca="1">'Adj Data'!G59</f>
        <v>82.419478758020404</v>
      </c>
      <c r="D56" s="44">
        <f ca="1">'Adj Data'!B59</f>
        <v>82.573166133523245</v>
      </c>
      <c r="E56" s="64">
        <f ca="1">RANK(Table1[[#This Row],[Kenpom]],Table1[Kenpom])</f>
        <v>54</v>
      </c>
      <c r="F56" s="44">
        <f ca="1">'Adj Data'!C59</f>
        <v>81.207784042328313</v>
      </c>
      <c r="G56" s="64">
        <f ca="1">RANK(Table1[[#This Row],[PVA]],Table1[PVA])</f>
        <v>56</v>
      </c>
      <c r="H56" s="44">
        <f ca="1">'Adj Data'!D59</f>
        <v>83.56</v>
      </c>
      <c r="I56" s="64">
        <f ca="1">RANK(Table1[[#This Row],[Sagarin]],Table1[Sagarin])</f>
        <v>41</v>
      </c>
      <c r="J56" s="44">
        <f ca="1">IFERROR(AVERAGE('Adj Data'!E59,'Adj Data'!F59),"")</f>
        <v>82.33696485623004</v>
      </c>
      <c r="K56" s="64">
        <f ca="1">IFERROR(RANK(Table1[[#This Row],[Preseason]],Table1[Preseason]),"")</f>
        <v>45</v>
      </c>
    </row>
    <row r="57" spans="1:11" x14ac:dyDescent="0.3">
      <c r="A57" s="64">
        <f ca="1">RANK(Table1[[#This Row],[Composite]],Table1[Composite])</f>
        <v>48</v>
      </c>
      <c r="B57" s="67" t="str">
        <f>'Adj Data'!A60</f>
        <v>SF Austin</v>
      </c>
      <c r="C57" s="44">
        <f ca="1">'Adj Data'!G60</f>
        <v>82.523187042599005</v>
      </c>
      <c r="D57" s="44">
        <f ca="1">'Adj Data'!B60</f>
        <v>85.801768557157715</v>
      </c>
      <c r="E57" s="64">
        <f ca="1">RANK(Table1[[#This Row],[Kenpom]],Table1[Kenpom])</f>
        <v>25</v>
      </c>
      <c r="F57" s="44">
        <f ca="1">'Adj Data'!C60</f>
        <v>79.656875335163434</v>
      </c>
      <c r="G57" s="64">
        <f ca="1">RANK(Table1[[#This Row],[PVA]],Table1[PVA])</f>
        <v>69</v>
      </c>
      <c r="H57" s="44">
        <f ca="1">'Adj Data'!D60</f>
        <v>82.31</v>
      </c>
      <c r="I57" s="64">
        <f ca="1">RANK(Table1[[#This Row],[Sagarin]],Table1[Sagarin])</f>
        <v>50</v>
      </c>
      <c r="J57" s="44">
        <f ca="1">IFERROR(AVERAGE('Adj Data'!E60,'Adj Data'!F60),"")</f>
        <v>82.32410427807487</v>
      </c>
      <c r="K57" s="64">
        <f ca="1">IFERROR(RANK(Table1[[#This Row],[Preseason]],Table1[Preseason]),"")</f>
        <v>47</v>
      </c>
    </row>
    <row r="58" spans="1:11" x14ac:dyDescent="0.3">
      <c r="A58" s="64">
        <f ca="1">RANK(Table1[[#This Row],[Composite]],Table1[Composite])</f>
        <v>56</v>
      </c>
      <c r="B58" s="67" t="str">
        <f>'Adj Data'!A63</f>
        <v>Georgia Tech</v>
      </c>
      <c r="C58" s="44">
        <f ca="1">'Adj Data'!G63</f>
        <v>82.224859209834236</v>
      </c>
      <c r="D58" s="44">
        <f ca="1">'Adj Data'!B63</f>
        <v>82.433612056800726</v>
      </c>
      <c r="E58" s="64">
        <f ca="1">RANK(Table1[[#This Row],[Kenpom]],Table1[Kenpom])</f>
        <v>56</v>
      </c>
      <c r="F58" s="44">
        <f ca="1">'Adj Data'!C63</f>
        <v>82.370965572701962</v>
      </c>
      <c r="G58" s="64">
        <f ca="1">RANK(Table1[[#This Row],[PVA]],Table1[PVA])</f>
        <v>48</v>
      </c>
      <c r="H58" s="44">
        <f ca="1">'Adj Data'!D63</f>
        <v>81.87</v>
      </c>
      <c r="I58" s="64">
        <f ca="1">RANK(Table1[[#This Row],[Sagarin]],Table1[Sagarin])</f>
        <v>56</v>
      </c>
      <c r="J58" s="44" t="str">
        <f ca="1">IFERROR(AVERAGE('Adj Data'!E63,'Adj Data'!F63),"")</f>
        <v/>
      </c>
      <c r="K58" s="64" t="str">
        <f ca="1">IFERROR(RANK(Table1[[#This Row],[Preseason]],Table1[Preseason]),"")</f>
        <v/>
      </c>
    </row>
    <row r="59" spans="1:11" x14ac:dyDescent="0.3">
      <c r="A59" s="64">
        <f ca="1">RANK(Table1[[#This Row],[Composite]],Table1[Composite])</f>
        <v>62</v>
      </c>
      <c r="B59" s="67" t="str">
        <f>'Adj Data'!A66</f>
        <v>Washington</v>
      </c>
      <c r="C59" s="44">
        <f ca="1">'Adj Data'!G66</f>
        <v>81.374392067008458</v>
      </c>
      <c r="D59" s="44">
        <f ca="1">'Adj Data'!B66</f>
        <v>81.48690737416959</v>
      </c>
      <c r="E59" s="64">
        <f ca="1">RANK(Table1[[#This Row],[Kenpom]],Table1[Kenpom])</f>
        <v>63</v>
      </c>
      <c r="F59" s="44">
        <f ca="1">'Adj Data'!C66</f>
        <v>81.466268826855782</v>
      </c>
      <c r="G59" s="64">
        <f ca="1">RANK(Table1[[#This Row],[PVA]],Table1[PVA])</f>
        <v>54</v>
      </c>
      <c r="H59" s="44">
        <f ca="1">'Adj Data'!D66</f>
        <v>81.17</v>
      </c>
      <c r="I59" s="64">
        <f ca="1">RANK(Table1[[#This Row],[Sagarin]],Table1[Sagarin])</f>
        <v>58</v>
      </c>
      <c r="J59" s="44" t="str">
        <f ca="1">IFERROR(AVERAGE('Adj Data'!E66,'Adj Data'!F66),"")</f>
        <v/>
      </c>
      <c r="K59" s="64" t="str">
        <f ca="1">IFERROR(RANK(Table1[[#This Row],[Preseason]],Table1[Preseason]),"")</f>
        <v/>
      </c>
    </row>
    <row r="60" spans="1:11" x14ac:dyDescent="0.3">
      <c r="A60" s="64">
        <f ca="1">RANK(Table1[[#This Row],[Composite]],Table1[Composite])</f>
        <v>59</v>
      </c>
      <c r="B60" s="67" t="str">
        <f>'Adj Data'!A75</f>
        <v>LSU</v>
      </c>
      <c r="C60" s="44">
        <f ca="1">'Adj Data'!G75</f>
        <v>81.491056441989983</v>
      </c>
      <c r="D60" s="44">
        <f ca="1">'Adj Data'!B75</f>
        <v>79.744367281039757</v>
      </c>
      <c r="E60" s="64">
        <f ca="1">RANK(Table1[[#This Row],[Kenpom]],Table1[Kenpom])</f>
        <v>84</v>
      </c>
      <c r="F60" s="44">
        <f ca="1">'Adj Data'!C75</f>
        <v>79.786117727427168</v>
      </c>
      <c r="G60" s="64">
        <f ca="1">RANK(Table1[[#This Row],[PVA]],Table1[PVA])</f>
        <v>68</v>
      </c>
      <c r="H60" s="44">
        <f ca="1">'Adj Data'!D75</f>
        <v>79.22</v>
      </c>
      <c r="I60" s="64">
        <f ca="1">RANK(Table1[[#This Row],[Sagarin]],Table1[Sagarin])</f>
        <v>78</v>
      </c>
      <c r="J60" s="44">
        <f ca="1">IFERROR(AVERAGE('Adj Data'!E75,'Adj Data'!F75),"")</f>
        <v>84.352398600741481</v>
      </c>
      <c r="K60" s="64">
        <f ca="1">IFERROR(RANK(Table1[[#This Row],[Preseason]],Table1[Preseason]),"")</f>
        <v>20</v>
      </c>
    </row>
    <row r="61" spans="1:11" x14ac:dyDescent="0.3">
      <c r="A61" s="64">
        <f ca="1">RANK(Table1[[#This Row],[Composite]],Table1[Composite])</f>
        <v>61</v>
      </c>
      <c r="B61" s="67" t="str">
        <f>'Adj Data'!A41</f>
        <v>Tulsa</v>
      </c>
      <c r="C61" s="44">
        <f ca="1">'Adj Data'!G41</f>
        <v>81.387870215895447</v>
      </c>
      <c r="D61" s="44">
        <f ca="1">'Adj Data'!B41</f>
        <v>81.882939213517261</v>
      </c>
      <c r="E61" s="64">
        <f ca="1">RANK(Table1[[#This Row],[Kenpom]],Table1[Kenpom])</f>
        <v>60</v>
      </c>
      <c r="F61" s="44">
        <f ca="1">'Adj Data'!C41</f>
        <v>81.078541650064565</v>
      </c>
      <c r="G61" s="64">
        <f ca="1">RANK(Table1[[#This Row],[PVA]],Table1[PVA])</f>
        <v>58</v>
      </c>
      <c r="H61" s="44">
        <f ca="1">'Adj Data'!D41</f>
        <v>80.28</v>
      </c>
      <c r="I61" s="64">
        <f ca="1">RANK(Table1[[#This Row],[Sagarin]],Table1[Sagarin])</f>
        <v>67</v>
      </c>
      <c r="J61" s="44">
        <f ca="1">IFERROR(AVERAGE('Adj Data'!E41,'Adj Data'!F41),"")</f>
        <v>82.31</v>
      </c>
      <c r="K61" s="64">
        <f ca="1">IFERROR(RANK(Table1[[#This Row],[Preseason]],Table1[Preseason]),"")</f>
        <v>52</v>
      </c>
    </row>
    <row r="62" spans="1:11" x14ac:dyDescent="0.3">
      <c r="A62" s="64">
        <f ca="1">RANK(Table1[[#This Row],[Composite]],Table1[Composite])</f>
        <v>60</v>
      </c>
      <c r="B62" s="67" t="str">
        <f>'Adj Data'!A74</f>
        <v>Georgetown</v>
      </c>
      <c r="C62" s="44">
        <f ca="1">'Adj Data'!G74</f>
        <v>81.489318696654479</v>
      </c>
      <c r="D62" s="44">
        <f ca="1">'Adj Data'!B74</f>
        <v>81.173853634494748</v>
      </c>
      <c r="E62" s="64">
        <f ca="1">RANK(Table1[[#This Row],[Kenpom]],Table1[Kenpom])</f>
        <v>68</v>
      </c>
      <c r="F62" s="44">
        <f ca="1">'Adj Data'!C74</f>
        <v>80.173844904218384</v>
      </c>
      <c r="G62" s="64">
        <f ca="1">RANK(Table1[[#This Row],[PVA]],Table1[PVA])</f>
        <v>63</v>
      </c>
      <c r="H62" s="44">
        <f ca="1">'Adj Data'!D74</f>
        <v>80.709999999999994</v>
      </c>
      <c r="I62" s="64">
        <f ca="1">RANK(Table1[[#This Row],[Sagarin]],Table1[Sagarin])</f>
        <v>61</v>
      </c>
      <c r="J62" s="44">
        <f ca="1">IFERROR(AVERAGE('Adj Data'!E74,'Adj Data'!F74),"")</f>
        <v>82.694447472279649</v>
      </c>
      <c r="K62" s="64">
        <f ca="1">IFERROR(RANK(Table1[[#This Row],[Preseason]],Table1[Preseason]),"")</f>
        <v>32</v>
      </c>
    </row>
    <row r="63" spans="1:11" x14ac:dyDescent="0.3">
      <c r="A63" s="64">
        <f ca="1">RANK(Table1[[#This Row],[Composite]],Table1[Composite])</f>
        <v>66</v>
      </c>
      <c r="B63" s="67" t="str">
        <f>'Adj Data'!A61</f>
        <v>Oregon State</v>
      </c>
      <c r="C63" s="44">
        <f ca="1">'Adj Data'!G61</f>
        <v>81.02992282831768</v>
      </c>
      <c r="D63" s="44">
        <f ca="1">'Adj Data'!B61</f>
        <v>81.539711619415939</v>
      </c>
      <c r="E63" s="64">
        <f ca="1">RANK(Table1[[#This Row],[Kenpom]],Table1[Kenpom])</f>
        <v>62</v>
      </c>
      <c r="F63" s="44">
        <f ca="1">'Adj Data'!C61</f>
        <v>80.820056865537083</v>
      </c>
      <c r="G63" s="64">
        <f ca="1">RANK(Table1[[#This Row],[PVA]],Table1[PVA])</f>
        <v>62</v>
      </c>
      <c r="H63" s="44">
        <f ca="1">'Adj Data'!D61</f>
        <v>80.73</v>
      </c>
      <c r="I63" s="64">
        <f ca="1">RANK(Table1[[#This Row],[Sagarin]],Table1[Sagarin])</f>
        <v>60</v>
      </c>
      <c r="J63" s="44" t="str">
        <f ca="1">IFERROR(AVERAGE('Adj Data'!E61,'Adj Data'!F61),"")</f>
        <v/>
      </c>
      <c r="K63" s="64" t="str">
        <f ca="1">IFERROR(RANK(Table1[[#This Row],[Preseason]],Table1[Preseason]),"")</f>
        <v/>
      </c>
    </row>
    <row r="64" spans="1:11" x14ac:dyDescent="0.3">
      <c r="A64" s="64">
        <f ca="1">RANK(Table1[[#This Row],[Composite]],Table1[Composite])</f>
        <v>58</v>
      </c>
      <c r="B64" s="67" t="str">
        <f>'Adj Data'!A42</f>
        <v>AR Little Rock</v>
      </c>
      <c r="C64" s="44">
        <f ca="1">'Adj Data'!G42</f>
        <v>81.677697695254167</v>
      </c>
      <c r="D64" s="44">
        <f ca="1">'Adj Data'!B42</f>
        <v>83.983793827961676</v>
      </c>
      <c r="E64" s="64">
        <f ca="1">RANK(Table1[[#This Row],[Kenpom]],Table1[Kenpom])</f>
        <v>43</v>
      </c>
      <c r="F64" s="44">
        <f ca="1">'Adj Data'!C42</f>
        <v>80.949299257800831</v>
      </c>
      <c r="G64" s="64">
        <f ca="1">RANK(Table1[[#This Row],[PVA]],Table1[PVA])</f>
        <v>60</v>
      </c>
      <c r="H64" s="44">
        <f ca="1">'Adj Data'!D42</f>
        <v>80.099999999999994</v>
      </c>
      <c r="I64" s="64">
        <f ca="1">RANK(Table1[[#This Row],[Sagarin]],Table1[Sagarin])</f>
        <v>69</v>
      </c>
      <c r="J64" s="44" t="str">
        <f ca="1">IFERROR(AVERAGE('Adj Data'!E42,'Adj Data'!F42),"")</f>
        <v/>
      </c>
      <c r="K64" s="64" t="str">
        <f ca="1">IFERROR(RANK(Table1[[#This Row],[Preseason]],Table1[Preseason]),"")</f>
        <v/>
      </c>
    </row>
    <row r="65" spans="1:11" x14ac:dyDescent="0.3">
      <c r="A65" s="64">
        <f ca="1">RANK(Table1[[#This Row],[Composite]],Table1[Composite])</f>
        <v>63</v>
      </c>
      <c r="B65" s="67" t="str">
        <f>'Adj Data'!A54</f>
        <v>UCLA</v>
      </c>
      <c r="C65" s="44">
        <f ca="1">'Adj Data'!G54</f>
        <v>81.197689080914259</v>
      </c>
      <c r="D65" s="44">
        <f ca="1">'Adj Data'!B54</f>
        <v>80.491170178095402</v>
      </c>
      <c r="E65" s="64">
        <f ca="1">RANK(Table1[[#This Row],[Kenpom]],Table1[Kenpom])</f>
        <v>75</v>
      </c>
      <c r="F65" s="44">
        <f ca="1">'Adj Data'!C54</f>
        <v>79.527632942899686</v>
      </c>
      <c r="G65" s="64">
        <f ca="1">RANK(Table1[[#This Row],[PVA]],Table1[PVA])</f>
        <v>71</v>
      </c>
      <c r="H65" s="44">
        <f ca="1">'Adj Data'!D54</f>
        <v>80.680000000000007</v>
      </c>
      <c r="I65" s="64">
        <f ca="1">RANK(Table1[[#This Row],[Sagarin]],Table1[Sagarin])</f>
        <v>62</v>
      </c>
      <c r="J65" s="44">
        <f ca="1">IFERROR(AVERAGE('Adj Data'!E54,'Adj Data'!F54),"")</f>
        <v>82.644821141788114</v>
      </c>
      <c r="K65" s="64">
        <f ca="1">IFERROR(RANK(Table1[[#This Row],[Preseason]],Table1[Preseason]),"")</f>
        <v>33</v>
      </c>
    </row>
    <row r="66" spans="1:11" x14ac:dyDescent="0.3">
      <c r="A66" s="64">
        <f ca="1">RANK(Table1[[#This Row],[Composite]],Table1[Composite])</f>
        <v>65</v>
      </c>
      <c r="B66" s="67" t="str">
        <f>'Adj Data'!A81</f>
        <v>Georgia</v>
      </c>
      <c r="C66" s="44">
        <f ca="1">'Adj Data'!G81</f>
        <v>81.060495710375449</v>
      </c>
      <c r="D66" s="44">
        <f ca="1">'Adj Data'!B81</f>
        <v>81.456733519743096</v>
      </c>
      <c r="E66" s="64">
        <f ca="1">RANK(Table1[[#This Row],[Kenpom]],Table1[Kenpom])</f>
        <v>65</v>
      </c>
      <c r="F66" s="44">
        <f ca="1">'Adj Data'!C81</f>
        <v>81.724753611383264</v>
      </c>
      <c r="G66" s="64">
        <f ca="1">RANK(Table1[[#This Row],[PVA]],Table1[PVA])</f>
        <v>52</v>
      </c>
      <c r="H66" s="44">
        <f ca="1">'Adj Data'!D81</f>
        <v>80</v>
      </c>
      <c r="I66" s="64">
        <f ca="1">RANK(Table1[[#This Row],[Sagarin]],Table1[Sagarin])</f>
        <v>71</v>
      </c>
      <c r="J66" s="44" t="str">
        <f ca="1">IFERROR(AVERAGE('Adj Data'!E81,'Adj Data'!F81),"")</f>
        <v/>
      </c>
      <c r="K66" s="64" t="str">
        <f ca="1">IFERROR(RANK(Table1[[#This Row],[Preseason]],Table1[Preseason]),"")</f>
        <v/>
      </c>
    </row>
    <row r="67" spans="1:11" x14ac:dyDescent="0.3">
      <c r="A67" s="64">
        <f ca="1">RANK(Table1[[#This Row],[Composite]],Table1[Composite])</f>
        <v>69</v>
      </c>
      <c r="B67" s="67" t="str">
        <f>'Adj Data'!A62</f>
        <v>Houston</v>
      </c>
      <c r="C67" s="44">
        <f ca="1">'Adj Data'!G62</f>
        <v>80.63192238560427</v>
      </c>
      <c r="D67" s="44">
        <f ca="1">'Adj Data'!B62</f>
        <v>81.6604070371219</v>
      </c>
      <c r="E67" s="64">
        <f ca="1">RANK(Table1[[#This Row],[Kenpom]],Table1[Kenpom])</f>
        <v>61</v>
      </c>
      <c r="F67" s="44">
        <f ca="1">'Adj Data'!C62</f>
        <v>79.915360119690916</v>
      </c>
      <c r="G67" s="64">
        <f ca="1">RANK(Table1[[#This Row],[PVA]],Table1[PVA])</f>
        <v>66</v>
      </c>
      <c r="H67" s="44">
        <f ca="1">'Adj Data'!D62</f>
        <v>80.319999999999993</v>
      </c>
      <c r="I67" s="64">
        <f ca="1">RANK(Table1[[#This Row],[Sagarin]],Table1[Sagarin])</f>
        <v>66</v>
      </c>
      <c r="J67" s="44" t="str">
        <f ca="1">IFERROR(AVERAGE('Adj Data'!E62,'Adj Data'!F62),"")</f>
        <v/>
      </c>
      <c r="K67" s="64" t="str">
        <f ca="1">IFERROR(RANK(Table1[[#This Row],[Preseason]],Table1[Preseason]),"")</f>
        <v/>
      </c>
    </row>
    <row r="68" spans="1:11" x14ac:dyDescent="0.3">
      <c r="A68" s="64">
        <f ca="1">RANK(Table1[[#This Row],[Composite]],Table1[Composite])</f>
        <v>67</v>
      </c>
      <c r="B68" s="67" t="str">
        <f>'Adj Data'!A67</f>
        <v>NC State</v>
      </c>
      <c r="C68" s="44">
        <f ca="1">'Adj Data'!G67</f>
        <v>80.935738865893128</v>
      </c>
      <c r="D68" s="44">
        <f ca="1">'Adj Data'!B67</f>
        <v>80.125312193174196</v>
      </c>
      <c r="E68" s="64">
        <f ca="1">RANK(Table1[[#This Row],[Kenpom]],Table1[Kenpom])</f>
        <v>80</v>
      </c>
      <c r="F68" s="44">
        <f ca="1">'Adj Data'!C67</f>
        <v>79.398390550635952</v>
      </c>
      <c r="G68" s="64">
        <f ca="1">RANK(Table1[[#This Row],[PVA]],Table1[PVA])</f>
        <v>75</v>
      </c>
      <c r="H68" s="44">
        <f ca="1">'Adj Data'!D67</f>
        <v>79.92</v>
      </c>
      <c r="I68" s="64">
        <f ca="1">RANK(Table1[[#This Row],[Sagarin]],Table1[Sagarin])</f>
        <v>74</v>
      </c>
      <c r="J68" s="44">
        <f ca="1">IFERROR(AVERAGE('Adj Data'!E67,'Adj Data'!F67),"")</f>
        <v>82.617495792827739</v>
      </c>
      <c r="K68" s="64">
        <f ca="1">IFERROR(RANK(Table1[[#This Row],[Preseason]],Table1[Preseason]),"")</f>
        <v>34</v>
      </c>
    </row>
    <row r="69" spans="1:11" x14ac:dyDescent="0.3">
      <c r="A69" s="64">
        <f ca="1">RANK(Table1[[#This Row],[Composite]],Table1[Composite])</f>
        <v>68</v>
      </c>
      <c r="B69" s="67" t="str">
        <f>'Adj Data'!A69</f>
        <v>Ohio State</v>
      </c>
      <c r="C69" s="44">
        <f ca="1">'Adj Data'!G69</f>
        <v>80.825403878097447</v>
      </c>
      <c r="D69" s="44">
        <f ca="1">'Adj Data'!B69</f>
        <v>80.792908722360295</v>
      </c>
      <c r="E69" s="64">
        <f ca="1">RANK(Table1[[#This Row],[Kenpom]],Table1[Kenpom])</f>
        <v>71</v>
      </c>
      <c r="F69" s="44">
        <f ca="1">'Adj Data'!C69</f>
        <v>80.04460251195465</v>
      </c>
      <c r="G69" s="64">
        <f ca="1">RANK(Table1[[#This Row],[PVA]],Table1[PVA])</f>
        <v>64</v>
      </c>
      <c r="H69" s="44">
        <f ca="1">'Adj Data'!D69</f>
        <v>80.14</v>
      </c>
      <c r="I69" s="64">
        <f ca="1">RANK(Table1[[#This Row],[Sagarin]],Table1[Sagarin])</f>
        <v>68</v>
      </c>
      <c r="J69" s="44">
        <f ca="1">IFERROR(AVERAGE('Adj Data'!E69,'Adj Data'!F69),"")</f>
        <v>82.32410427807487</v>
      </c>
      <c r="K69" s="64">
        <f ca="1">IFERROR(RANK(Table1[[#This Row],[Preseason]],Table1[Preseason]),"")</f>
        <v>47</v>
      </c>
    </row>
    <row r="70" spans="1:11" x14ac:dyDescent="0.3">
      <c r="A70" s="64">
        <f ca="1">RANK(Table1[[#This Row],[Composite]],Table1[Composite])</f>
        <v>71</v>
      </c>
      <c r="B70" s="67" t="str">
        <f>'Adj Data'!A73</f>
        <v>G Washington</v>
      </c>
      <c r="C70" s="44">
        <f ca="1">'Adj Data'!G73</f>
        <v>80.458906759505155</v>
      </c>
      <c r="D70" s="44">
        <f ca="1">'Adj Data'!B73</f>
        <v>80.0574210207146</v>
      </c>
      <c r="E70" s="64">
        <f ca="1">RANK(Table1[[#This Row],[Kenpom]],Table1[Kenpom])</f>
        <v>81</v>
      </c>
      <c r="F70" s="44">
        <f ca="1">'Adj Data'!C73</f>
        <v>80.949299257800831</v>
      </c>
      <c r="G70" s="64">
        <f ca="1">RANK(Table1[[#This Row],[PVA]],Table1[PVA])</f>
        <v>60</v>
      </c>
      <c r="H70" s="44">
        <f ca="1">'Adj Data'!D73</f>
        <v>80.37</v>
      </c>
      <c r="I70" s="64">
        <f ca="1">RANK(Table1[[#This Row],[Sagarin]],Table1[Sagarin])</f>
        <v>64</v>
      </c>
      <c r="J70" s="44" t="str">
        <f ca="1">IFERROR(AVERAGE('Adj Data'!E73,'Adj Data'!F73),"")</f>
        <v/>
      </c>
      <c r="K70" s="64" t="str">
        <f ca="1">IFERROR(RANK(Table1[[#This Row],[Preseason]],Table1[Preseason]),"")</f>
        <v/>
      </c>
    </row>
    <row r="71" spans="1:11" x14ac:dyDescent="0.3">
      <c r="A71" s="64">
        <f ca="1">RANK(Table1[[#This Row],[Composite]],Table1[Composite])</f>
        <v>64</v>
      </c>
      <c r="B71" s="67" t="str">
        <f>'Adj Data'!A71</f>
        <v>Hawaii</v>
      </c>
      <c r="C71" s="44">
        <f ca="1">'Adj Data'!G71</f>
        <v>81.152950462548219</v>
      </c>
      <c r="D71" s="44">
        <f ca="1">'Adj Data'!B71</f>
        <v>83.063491267953708</v>
      </c>
      <c r="E71" s="64">
        <f ca="1">RANK(Table1[[#This Row],[Kenpom]],Table1[Kenpom])</f>
        <v>49</v>
      </c>
      <c r="F71" s="44">
        <f ca="1">'Adj Data'!C71</f>
        <v>79.915360119690916</v>
      </c>
      <c r="G71" s="64">
        <f ca="1">RANK(Table1[[#This Row],[PVA]],Table1[PVA])</f>
        <v>66</v>
      </c>
      <c r="H71" s="44">
        <f ca="1">'Adj Data'!D71</f>
        <v>80.48</v>
      </c>
      <c r="I71" s="64">
        <f ca="1">RANK(Table1[[#This Row],[Sagarin]],Table1[Sagarin])</f>
        <v>63</v>
      </c>
      <c r="J71" s="44" t="str">
        <f ca="1">IFERROR(AVERAGE('Adj Data'!E71,'Adj Data'!F71),"")</f>
        <v/>
      </c>
      <c r="K71" s="64" t="str">
        <f ca="1">IFERROR(RANK(Table1[[#This Row],[Preseason]],Table1[Preseason]),"")</f>
        <v/>
      </c>
    </row>
    <row r="72" spans="1:11" x14ac:dyDescent="0.3">
      <c r="A72" s="64">
        <f ca="1">RANK(Table1[[#This Row],[Composite]],Table1[Composite])</f>
        <v>72</v>
      </c>
      <c r="B72" s="67" t="str">
        <f>'Adj Data'!A85</f>
        <v>Northwestern</v>
      </c>
      <c r="C72" s="44">
        <f ca="1">'Adj Data'!G85</f>
        <v>80.255989957752277</v>
      </c>
      <c r="D72" s="44">
        <f ca="1">'Adj Data'!B85</f>
        <v>80.261094538093403</v>
      </c>
      <c r="E72" s="64">
        <f ca="1">RANK(Table1[[#This Row],[Kenpom]],Table1[Kenpom])</f>
        <v>77</v>
      </c>
      <c r="F72" s="44">
        <f ca="1">'Adj Data'!C85</f>
        <v>79.656875335163434</v>
      </c>
      <c r="G72" s="64">
        <f ca="1">RANK(Table1[[#This Row],[PVA]],Table1[PVA])</f>
        <v>69</v>
      </c>
      <c r="H72" s="44">
        <f ca="1">'Adj Data'!D85</f>
        <v>80.849999999999994</v>
      </c>
      <c r="I72" s="64">
        <f ca="1">RANK(Table1[[#This Row],[Sagarin]],Table1[Sagarin])</f>
        <v>59</v>
      </c>
      <c r="J72" s="44" t="str">
        <f ca="1">IFERROR(AVERAGE('Adj Data'!E85,'Adj Data'!F85),"")</f>
        <v/>
      </c>
      <c r="K72" s="64" t="str">
        <f ca="1">IFERROR(RANK(Table1[[#This Row],[Preseason]],Table1[Preseason]),"")</f>
        <v/>
      </c>
    </row>
    <row r="73" spans="1:11" x14ac:dyDescent="0.3">
      <c r="A73" s="64">
        <f ca="1">RANK(Table1[[#This Row],[Composite]],Table1[Composite])</f>
        <v>70</v>
      </c>
      <c r="B73" s="67" t="str">
        <f>'Adj Data'!A100</f>
        <v>Virginia Tech</v>
      </c>
      <c r="C73" s="44">
        <f ca="1">'Adj Data'!G100</f>
        <v>80.477792133887775</v>
      </c>
      <c r="D73" s="44">
        <f ca="1">'Adj Data'!B100</f>
        <v>81.935743458763625</v>
      </c>
      <c r="E73" s="64">
        <f ca="1">RANK(Table1[[#This Row],[Kenpom]],Table1[Kenpom])</f>
        <v>59</v>
      </c>
      <c r="F73" s="44">
        <f ca="1">'Adj Data'!C100</f>
        <v>79.527632942899686</v>
      </c>
      <c r="G73" s="64">
        <f ca="1">RANK(Table1[[#This Row],[PVA]],Table1[PVA])</f>
        <v>71</v>
      </c>
      <c r="H73" s="44">
        <f ca="1">'Adj Data'!D100</f>
        <v>79.97</v>
      </c>
      <c r="I73" s="64">
        <f ca="1">RANK(Table1[[#This Row],[Sagarin]],Table1[Sagarin])</f>
        <v>73</v>
      </c>
      <c r="J73" s="44" t="str">
        <f ca="1">IFERROR(AVERAGE('Adj Data'!E100,'Adj Data'!F100),"")</f>
        <v/>
      </c>
      <c r="K73" s="64" t="str">
        <f ca="1">IFERROR(RANK(Table1[[#This Row],[Preseason]],Table1[Preseason]),"")</f>
        <v/>
      </c>
    </row>
    <row r="74" spans="1:11" x14ac:dyDescent="0.3">
      <c r="A74" s="64">
        <f ca="1">RANK(Table1[[#This Row],[Composite]],Table1[Composite])</f>
        <v>76</v>
      </c>
      <c r="B74" s="67" t="str">
        <f>'Adj Data'!A84</f>
        <v>URI</v>
      </c>
      <c r="C74" s="44">
        <f ca="1">'Adj Data'!G84</f>
        <v>79.98531490218059</v>
      </c>
      <c r="D74" s="44">
        <f ca="1">'Adj Data'!B84</f>
        <v>79.205009633166242</v>
      </c>
      <c r="E74" s="64">
        <f ca="1">RANK(Table1[[#This Row],[Kenpom]],Table1[Kenpom])</f>
        <v>95</v>
      </c>
      <c r="F74" s="44">
        <f ca="1">'Adj Data'!C84</f>
        <v>79.398390550635952</v>
      </c>
      <c r="G74" s="64">
        <f ca="1">RANK(Table1[[#This Row],[PVA]],Table1[PVA])</f>
        <v>75</v>
      </c>
      <c r="H74" s="44">
        <f ca="1">'Adj Data'!D84</f>
        <v>78.92</v>
      </c>
      <c r="I74" s="64">
        <f ca="1">RANK(Table1[[#This Row],[Sagarin]],Table1[Sagarin])</f>
        <v>81</v>
      </c>
      <c r="J74" s="44">
        <f ca="1">IFERROR(AVERAGE('Adj Data'!E84,'Adj Data'!F84),"")</f>
        <v>82.417859424920124</v>
      </c>
      <c r="K74" s="64">
        <f ca="1">IFERROR(RANK(Table1[[#This Row],[Preseason]],Table1[Preseason]),"")</f>
        <v>38</v>
      </c>
    </row>
    <row r="75" spans="1:11" x14ac:dyDescent="0.3">
      <c r="A75" s="64">
        <f ca="1">RANK(Table1[[#This Row],[Composite]],Table1[Composite])</f>
        <v>73</v>
      </c>
      <c r="B75" s="67" t="str">
        <f>'Adj Data'!A68</f>
        <v>Arkansas</v>
      </c>
      <c r="C75" s="44">
        <f ca="1">'Adj Data'!G68</f>
        <v>80.098250712637878</v>
      </c>
      <c r="D75" s="44">
        <f ca="1">'Adj Data'!B68</f>
        <v>79.880149625958964</v>
      </c>
      <c r="E75" s="64">
        <f ca="1">RANK(Table1[[#This Row],[Kenpom]],Table1[Kenpom])</f>
        <v>83</v>
      </c>
      <c r="F75" s="44">
        <f ca="1">'Adj Data'!C68</f>
        <v>80.04460251195465</v>
      </c>
      <c r="G75" s="64">
        <f ca="1">RANK(Table1[[#This Row],[PVA]],Table1[PVA])</f>
        <v>64</v>
      </c>
      <c r="H75" s="44">
        <f ca="1">'Adj Data'!D68</f>
        <v>80.37</v>
      </c>
      <c r="I75" s="64">
        <f ca="1">RANK(Table1[[#This Row],[Sagarin]],Table1[Sagarin])</f>
        <v>64</v>
      </c>
      <c r="J75" s="44" t="str">
        <f ca="1">IFERROR(AVERAGE('Adj Data'!E68,'Adj Data'!F68),"")</f>
        <v/>
      </c>
      <c r="K75" s="64" t="str">
        <f ca="1">IFERROR(RANK(Table1[[#This Row],[Preseason]],Table1[Preseason]),"")</f>
        <v/>
      </c>
    </row>
    <row r="76" spans="1:11" x14ac:dyDescent="0.3">
      <c r="A76" s="64">
        <f ca="1">RANK(Table1[[#This Row],[Composite]],Table1[Composite])</f>
        <v>74</v>
      </c>
      <c r="B76" s="67" t="str">
        <f>'Adj Data'!A112</f>
        <v>Memphis</v>
      </c>
      <c r="C76" s="44">
        <f ca="1">'Adj Data'!G112</f>
        <v>80.047376309840317</v>
      </c>
      <c r="D76" s="44">
        <f ca="1">'Adj Data'!B112</f>
        <v>80.634495986621232</v>
      </c>
      <c r="E76" s="64">
        <f ca="1">RANK(Table1[[#This Row],[Kenpom]],Table1[Kenpom])</f>
        <v>72</v>
      </c>
      <c r="F76" s="44">
        <f ca="1">'Adj Data'!C112</f>
        <v>79.527632942899686</v>
      </c>
      <c r="G76" s="64">
        <f ca="1">RANK(Table1[[#This Row],[PVA]],Table1[PVA])</f>
        <v>71</v>
      </c>
      <c r="H76" s="44">
        <f ca="1">'Adj Data'!D112</f>
        <v>79.98</v>
      </c>
      <c r="I76" s="64">
        <f ca="1">RANK(Table1[[#This Row],[Sagarin]],Table1[Sagarin])</f>
        <v>72</v>
      </c>
      <c r="J76" s="44" t="str">
        <f ca="1">IFERROR(AVERAGE('Adj Data'!E112,'Adj Data'!F112),"")</f>
        <v/>
      </c>
      <c r="K76" s="64" t="str">
        <f ca="1">IFERROR(RANK(Table1[[#This Row],[Preseason]],Table1[Preseason]),"")</f>
        <v/>
      </c>
    </row>
    <row r="77" spans="1:11" x14ac:dyDescent="0.3">
      <c r="A77" s="64">
        <f ca="1">RANK(Table1[[#This Row],[Composite]],Table1[Composite])</f>
        <v>75</v>
      </c>
      <c r="B77" s="67" t="str">
        <f>'Adj Data'!A55</f>
        <v>Princeton</v>
      </c>
      <c r="C77" s="44">
        <f ca="1">'Adj Data'!G55</f>
        <v>79.992784840462221</v>
      </c>
      <c r="D77" s="44">
        <f ca="1">'Adj Data'!B55</f>
        <v>81.445418324333161</v>
      </c>
      <c r="E77" s="64">
        <f ca="1">RANK(Table1[[#This Row],[Kenpom]],Table1[Kenpom])</f>
        <v>66</v>
      </c>
      <c r="F77" s="44">
        <f ca="1">'Adj Data'!C55</f>
        <v>78.622936197053519</v>
      </c>
      <c r="G77" s="64">
        <f ca="1">RANK(Table1[[#This Row],[PVA]],Table1[PVA])</f>
        <v>85</v>
      </c>
      <c r="H77" s="44">
        <f ca="1">'Adj Data'!D55</f>
        <v>79.91</v>
      </c>
      <c r="I77" s="64">
        <f ca="1">RANK(Table1[[#This Row],[Sagarin]],Table1[Sagarin])</f>
        <v>75</v>
      </c>
      <c r="J77" s="44" t="str">
        <f ca="1">IFERROR(AVERAGE('Adj Data'!E55,'Adj Data'!F55),"")</f>
        <v/>
      </c>
      <c r="K77" s="64" t="str">
        <f ca="1">IFERROR(RANK(Table1[[#This Row],[Preseason]],Table1[Preseason]),"")</f>
        <v/>
      </c>
    </row>
    <row r="78" spans="1:11" x14ac:dyDescent="0.3">
      <c r="A78" s="64">
        <f ca="1">RANK(Table1[[#This Row],[Composite]],Table1[Composite])</f>
        <v>77</v>
      </c>
      <c r="B78" s="67" t="str">
        <f>'Adj Data'!A95</f>
        <v>Boise State</v>
      </c>
      <c r="C78" s="44">
        <f ca="1">'Adj Data'!G95</f>
        <v>79.983775829093446</v>
      </c>
      <c r="D78" s="44">
        <f ca="1">'Adj Data'!B95</f>
        <v>78.556271762996701</v>
      </c>
      <c r="E78" s="64">
        <f ca="1">RANK(Table1[[#This Row],[Kenpom]],Table1[Kenpom])</f>
        <v>101</v>
      </c>
      <c r="F78" s="44">
        <f ca="1">'Adj Data'!C95</f>
        <v>78.105966627998555</v>
      </c>
      <c r="G78" s="64">
        <f ca="1">RANK(Table1[[#This Row],[PVA]],Table1[PVA])</f>
        <v>90</v>
      </c>
      <c r="H78" s="44">
        <f ca="1">'Adj Data'!D95</f>
        <v>78.56</v>
      </c>
      <c r="I78" s="64">
        <f ca="1">RANK(Table1[[#This Row],[Sagarin]],Table1[Sagarin])</f>
        <v>82</v>
      </c>
      <c r="J78" s="44">
        <f ca="1">IFERROR(AVERAGE('Adj Data'!E95,'Adj Data'!F95),"")</f>
        <v>82.348320377236007</v>
      </c>
      <c r="K78" s="64">
        <f ca="1">IFERROR(RANK(Table1[[#This Row],[Preseason]],Table1[Preseason]),"")</f>
        <v>43</v>
      </c>
    </row>
    <row r="79" spans="1:11" x14ac:dyDescent="0.3">
      <c r="A79" s="64">
        <f ca="1">RANK(Table1[[#This Row],[Composite]],Table1[Composite])</f>
        <v>78</v>
      </c>
      <c r="B79" s="67" t="str">
        <f>'Adj Data'!A90</f>
        <v>Evansville</v>
      </c>
      <c r="C79" s="44">
        <f ca="1">'Adj Data'!G90</f>
        <v>79.938643472724635</v>
      </c>
      <c r="D79" s="44">
        <f ca="1">'Adj Data'!B90</f>
        <v>80.985267044329177</v>
      </c>
      <c r="E79" s="64">
        <f ca="1">RANK(Table1[[#This Row],[Kenpom]],Table1[Kenpom])</f>
        <v>69</v>
      </c>
      <c r="F79" s="44">
        <f ca="1">'Adj Data'!C90</f>
        <v>79.010663373844736</v>
      </c>
      <c r="G79" s="64">
        <f ca="1">RANK(Table1[[#This Row],[PVA]],Table1[PVA])</f>
        <v>81</v>
      </c>
      <c r="H79" s="44">
        <f ca="1">'Adj Data'!D90</f>
        <v>79.819999999999993</v>
      </c>
      <c r="I79" s="64">
        <f ca="1">RANK(Table1[[#This Row],[Sagarin]],Table1[Sagarin])</f>
        <v>76</v>
      </c>
      <c r="J79" s="44" t="str">
        <f ca="1">IFERROR(AVERAGE('Adj Data'!E90,'Adj Data'!F90),"")</f>
        <v/>
      </c>
      <c r="K79" s="64" t="str">
        <f ca="1">IFERROR(RANK(Table1[[#This Row],[Preseason]],Table1[Preseason]),"")</f>
        <v/>
      </c>
    </row>
    <row r="80" spans="1:11" x14ac:dyDescent="0.3">
      <c r="A80" s="64">
        <f ca="1">RANK(Table1[[#This Row],[Composite]],Table1[Composite])</f>
        <v>79</v>
      </c>
      <c r="B80" s="67" t="str">
        <f>'Adj Data'!A88</f>
        <v>Ole Miss</v>
      </c>
      <c r="C80" s="44">
        <f ca="1">'Adj Data'!G88</f>
        <v>79.688643472724635</v>
      </c>
      <c r="D80" s="44">
        <f ca="1">'Adj Data'!B88</f>
        <v>80.985267044329177</v>
      </c>
      <c r="E80" s="64">
        <f ca="1">RANK(Table1[[#This Row],[Kenpom]],Table1[Kenpom])</f>
        <v>69</v>
      </c>
      <c r="F80" s="44">
        <f ca="1">'Adj Data'!C88</f>
        <v>79.010663373844736</v>
      </c>
      <c r="G80" s="64">
        <f ca="1">RANK(Table1[[#This Row],[PVA]],Table1[PVA])</f>
        <v>81</v>
      </c>
      <c r="H80" s="44">
        <f ca="1">'Adj Data'!D88</f>
        <v>79.069999999999993</v>
      </c>
      <c r="I80" s="64">
        <f ca="1">RANK(Table1[[#This Row],[Sagarin]],Table1[Sagarin])</f>
        <v>79</v>
      </c>
      <c r="J80" s="44" t="str">
        <f ca="1">IFERROR(AVERAGE('Adj Data'!E88,'Adj Data'!F88),"")</f>
        <v/>
      </c>
      <c r="K80" s="64" t="str">
        <f ca="1">IFERROR(RANK(Table1[[#This Row],[Preseason]],Table1[Preseason]),"")</f>
        <v/>
      </c>
    </row>
    <row r="81" spans="1:11" x14ac:dyDescent="0.3">
      <c r="A81" s="64">
        <f ca="1">RANK(Table1[[#This Row],[Composite]],Table1[Composite])</f>
        <v>82</v>
      </c>
      <c r="B81" s="67" t="str">
        <f>'Adj Data'!A64</f>
        <v>Monmouth</v>
      </c>
      <c r="C81" s="44">
        <f ca="1">'Adj Data'!G64</f>
        <v>79.261162199148316</v>
      </c>
      <c r="D81" s="44">
        <f ca="1">'Adj Data'!B64</f>
        <v>80.600550400391427</v>
      </c>
      <c r="E81" s="64">
        <f ca="1">RANK(Table1[[#This Row],[Kenpom]],Table1[Kenpom])</f>
        <v>74</v>
      </c>
      <c r="F81" s="44">
        <f ca="1">'Adj Data'!C64</f>
        <v>78.622936197053519</v>
      </c>
      <c r="G81" s="64">
        <f ca="1">RANK(Table1[[#This Row],[PVA]],Table1[PVA])</f>
        <v>85</v>
      </c>
      <c r="H81" s="44">
        <f ca="1">'Adj Data'!D64</f>
        <v>78.56</v>
      </c>
      <c r="I81" s="64">
        <f ca="1">RANK(Table1[[#This Row],[Sagarin]],Table1[Sagarin])</f>
        <v>82</v>
      </c>
      <c r="J81" s="44" t="str">
        <f ca="1">IFERROR(AVERAGE('Adj Data'!E64,'Adj Data'!F64),"")</f>
        <v/>
      </c>
      <c r="K81" s="64" t="str">
        <f ca="1">IFERROR(RANK(Table1[[#This Row],[Preseason]],Table1[Preseason]),"")</f>
        <v/>
      </c>
    </row>
    <row r="82" spans="1:11" x14ac:dyDescent="0.3">
      <c r="A82" s="64">
        <f ca="1">RANK(Table1[[#This Row],[Composite]],Table1[Composite])</f>
        <v>92</v>
      </c>
      <c r="B82" s="67" t="str">
        <f>'Adj Data'!A83</f>
        <v>St Bonaventure</v>
      </c>
      <c r="C82" s="44">
        <f ca="1">'Adj Data'!G83</f>
        <v>78.734408776458565</v>
      </c>
      <c r="D82" s="44">
        <f ca="1">'Adj Data'!B83</f>
        <v>79.174835778739748</v>
      </c>
      <c r="E82" s="64">
        <f ca="1">RANK(Table1[[#This Row],[Kenpom]],Table1[Kenpom])</f>
        <v>96</v>
      </c>
      <c r="F82" s="44">
        <f ca="1">'Adj Data'!C83</f>
        <v>79.398390550635952</v>
      </c>
      <c r="G82" s="64">
        <f ca="1">RANK(Table1[[#This Row],[PVA]],Table1[PVA])</f>
        <v>75</v>
      </c>
      <c r="H82" s="44">
        <f ca="1">'Adj Data'!D83</f>
        <v>77.63</v>
      </c>
      <c r="I82" s="64">
        <f ca="1">RANK(Table1[[#This Row],[Sagarin]],Table1[Sagarin])</f>
        <v>96</v>
      </c>
      <c r="J82" s="44" t="str">
        <f ca="1">IFERROR(AVERAGE('Adj Data'!E83,'Adj Data'!F83),"")</f>
        <v/>
      </c>
      <c r="K82" s="64" t="str">
        <f ca="1">IFERROR(RANK(Table1[[#This Row],[Preseason]],Table1[Preseason]),"")</f>
        <v/>
      </c>
    </row>
    <row r="83" spans="1:11" x14ac:dyDescent="0.3">
      <c r="A83" s="64">
        <f ca="1">RANK(Table1[[#This Row],[Composite]],Table1[Composite])</f>
        <v>81</v>
      </c>
      <c r="B83" s="67" t="str">
        <f>'Adj Data'!A72</f>
        <v>Mississippi St</v>
      </c>
      <c r="C83" s="44">
        <f ca="1">'Adj Data'!G72</f>
        <v>79.27242696789024</v>
      </c>
      <c r="D83" s="44">
        <f ca="1">'Adj Data'!B72</f>
        <v>80.174344706617248</v>
      </c>
      <c r="E83" s="64">
        <f ca="1">RANK(Table1[[#This Row],[Kenpom]],Table1[Kenpom])</f>
        <v>79</v>
      </c>
      <c r="F83" s="44">
        <f ca="1">'Adj Data'!C72</f>
        <v>78.622936197053519</v>
      </c>
      <c r="G83" s="64">
        <f ca="1">RANK(Table1[[#This Row],[PVA]],Table1[PVA])</f>
        <v>85</v>
      </c>
      <c r="H83" s="44">
        <f ca="1">'Adj Data'!D72</f>
        <v>79.02</v>
      </c>
      <c r="I83" s="64">
        <f ca="1">RANK(Table1[[#This Row],[Sagarin]],Table1[Sagarin])</f>
        <v>80</v>
      </c>
      <c r="J83" s="44" t="str">
        <f ca="1">IFERROR(AVERAGE('Adj Data'!E72,'Adj Data'!F72),"")</f>
        <v/>
      </c>
      <c r="K83" s="64" t="str">
        <f ca="1">IFERROR(RANK(Table1[[#This Row],[Preseason]],Table1[Preseason]),"")</f>
        <v/>
      </c>
    </row>
    <row r="84" spans="1:11" x14ac:dyDescent="0.3">
      <c r="A84" s="64">
        <f ca="1">RANK(Table1[[#This Row],[Composite]],Table1[Composite])</f>
        <v>89</v>
      </c>
      <c r="B84" s="67" t="str">
        <f>'Adj Data'!A86</f>
        <v>Iona</v>
      </c>
      <c r="C84" s="44">
        <f ca="1">'Adj Data'!G86</f>
        <v>78.961192870568311</v>
      </c>
      <c r="D84" s="44">
        <f ca="1">'Adj Data'!B86</f>
        <v>79.981986384648366</v>
      </c>
      <c r="E84" s="64">
        <f ca="1">RANK(Table1[[#This Row],[Kenpom]],Table1[Kenpom])</f>
        <v>82</v>
      </c>
      <c r="F84" s="44">
        <f ca="1">'Adj Data'!C86</f>
        <v>76.942785097624892</v>
      </c>
      <c r="G84" s="64">
        <f ca="1">RANK(Table1[[#This Row],[PVA]],Table1[PVA])</f>
        <v>104</v>
      </c>
      <c r="H84" s="44">
        <f ca="1">'Adj Data'!D86</f>
        <v>76.61</v>
      </c>
      <c r="I84" s="64">
        <f ca="1">RANK(Table1[[#This Row],[Sagarin]],Table1[Sagarin])</f>
        <v>104</v>
      </c>
      <c r="J84" s="44">
        <f ca="1">IFERROR(AVERAGE('Adj Data'!E86,'Adj Data'!F86),"")</f>
        <v>82.31</v>
      </c>
      <c r="K84" s="64">
        <f ca="1">IFERROR(RANK(Table1[[#This Row],[Preseason]],Table1[Preseason]),"")</f>
        <v>52</v>
      </c>
    </row>
    <row r="85" spans="1:11" x14ac:dyDescent="0.3">
      <c r="A85" s="64">
        <f ca="1">RANK(Table1[[#This Row],[Composite]],Table1[Composite])</f>
        <v>80</v>
      </c>
      <c r="B85" s="67" t="str">
        <f>'Adj Data'!A89</f>
        <v>Northern Iowa</v>
      </c>
      <c r="C85" s="44">
        <f ca="1">'Adj Data'!G89</f>
        <v>79.638713492523323</v>
      </c>
      <c r="D85" s="44">
        <f ca="1">'Adj Data'!B89</f>
        <v>81.396385810890109</v>
      </c>
      <c r="E85" s="64">
        <f ca="1">RANK(Table1[[#This Row],[Kenpom]],Table1[Kenpom])</f>
        <v>67</v>
      </c>
      <c r="F85" s="44">
        <f ca="1">'Adj Data'!C89</f>
        <v>77.459754666679856</v>
      </c>
      <c r="G85" s="64">
        <f ca="1">RANK(Table1[[#This Row],[PVA]],Table1[PVA])</f>
        <v>97</v>
      </c>
      <c r="H85" s="44">
        <f ca="1">'Adj Data'!D89</f>
        <v>80.06</v>
      </c>
      <c r="I85" s="64">
        <f ca="1">RANK(Table1[[#This Row],[Sagarin]],Table1[Sagarin])</f>
        <v>70</v>
      </c>
      <c r="J85" s="44" t="str">
        <f ca="1">IFERROR(AVERAGE('Adj Data'!E89,'Adj Data'!F89),"")</f>
        <v/>
      </c>
      <c r="K85" s="64" t="str">
        <f ca="1">IFERROR(RANK(Table1[[#This Row],[Preseason]],Table1[Preseason]),"")</f>
        <v/>
      </c>
    </row>
    <row r="86" spans="1:11" x14ac:dyDescent="0.3">
      <c r="A86" s="64">
        <f ca="1">RANK(Table1[[#This Row],[Composite]],Table1[Composite])</f>
        <v>83</v>
      </c>
      <c r="B86" s="67" t="str">
        <f>'Adj Data'!A70</f>
        <v>South Dakota St</v>
      </c>
      <c r="C86" s="44">
        <f ca="1">'Adj Data'!G70</f>
        <v>79.259365948177006</v>
      </c>
      <c r="D86" s="44">
        <f ca="1">'Adj Data'!B70</f>
        <v>80.408192078422559</v>
      </c>
      <c r="E86" s="64">
        <f ca="1">RANK(Table1[[#This Row],[Kenpom]],Table1[Kenpom])</f>
        <v>76</v>
      </c>
      <c r="F86" s="44">
        <f ca="1">'Adj Data'!C70</f>
        <v>79.13990576610847</v>
      </c>
      <c r="G86" s="64">
        <f ca="1">RANK(Table1[[#This Row],[PVA]],Table1[PVA])</f>
        <v>80</v>
      </c>
      <c r="H86" s="44">
        <f ca="1">'Adj Data'!D70</f>
        <v>78.23</v>
      </c>
      <c r="I86" s="64">
        <f ca="1">RANK(Table1[[#This Row],[Sagarin]],Table1[Sagarin])</f>
        <v>87</v>
      </c>
      <c r="J86" s="44" t="str">
        <f ca="1">IFERROR(AVERAGE('Adj Data'!E70,'Adj Data'!F70),"")</f>
        <v/>
      </c>
      <c r="K86" s="64" t="str">
        <f ca="1">IFERROR(RANK(Table1[[#This Row],[Preseason]],Table1[Preseason]),"")</f>
        <v/>
      </c>
    </row>
    <row r="87" spans="1:11" x14ac:dyDescent="0.3">
      <c r="A87" s="64">
        <f ca="1">RANK(Table1[[#This Row],[Composite]],Table1[Composite])</f>
        <v>84</v>
      </c>
      <c r="B87" s="67" t="str">
        <f>'Adj Data'!A102</f>
        <v>UC Irvine</v>
      </c>
      <c r="C87" s="44">
        <f ca="1">'Adj Data'!G102</f>
        <v>79.218580491945545</v>
      </c>
      <c r="D87" s="44">
        <f ca="1">'Adj Data'!B102</f>
        <v>79.733052085629822</v>
      </c>
      <c r="E87" s="64">
        <f ca="1">RANK(Table1[[#This Row],[Kenpom]],Table1[Kenpom])</f>
        <v>87</v>
      </c>
      <c r="F87" s="44">
        <f ca="1">'Adj Data'!C102</f>
        <v>77.201269882152374</v>
      </c>
      <c r="G87" s="64">
        <f ca="1">RANK(Table1[[#This Row],[PVA]],Table1[PVA])</f>
        <v>99</v>
      </c>
      <c r="H87" s="44">
        <f ca="1">'Adj Data'!D102</f>
        <v>77.63</v>
      </c>
      <c r="I87" s="64">
        <f ca="1">RANK(Table1[[#This Row],[Sagarin]],Table1[Sagarin])</f>
        <v>96</v>
      </c>
      <c r="J87" s="44">
        <f ca="1">IFERROR(AVERAGE('Adj Data'!E102,'Adj Data'!F102),"")</f>
        <v>82.31</v>
      </c>
      <c r="K87" s="64">
        <f ca="1">IFERROR(RANK(Table1[[#This Row],[Preseason]],Table1[Preseason]),"")</f>
        <v>52</v>
      </c>
    </row>
    <row r="88" spans="1:11" x14ac:dyDescent="0.3">
      <c r="A88" s="64">
        <f ca="1">RANK(Table1[[#This Row],[Composite]],Table1[Composite])</f>
        <v>87</v>
      </c>
      <c r="B88" s="67" t="str">
        <f>'Adj Data'!A87</f>
        <v>Akron</v>
      </c>
      <c r="C88" s="44">
        <f ca="1">'Adj Data'!G87</f>
        <v>79.023007374755537</v>
      </c>
      <c r="D88" s="44">
        <f ca="1">'Adj Data'!B87</f>
        <v>79.661389181366914</v>
      </c>
      <c r="E88" s="64">
        <f ca="1">RANK(Table1[[#This Row],[Kenpom]],Table1[Kenpom])</f>
        <v>88</v>
      </c>
      <c r="F88" s="44">
        <f ca="1">'Adj Data'!C87</f>
        <v>79.527632942899686</v>
      </c>
      <c r="G88" s="64">
        <f ca="1">RANK(Table1[[#This Row],[PVA]],Table1[PVA])</f>
        <v>71</v>
      </c>
      <c r="H88" s="44">
        <f ca="1">'Adj Data'!D87</f>
        <v>77.88</v>
      </c>
      <c r="I88" s="64">
        <f ca="1">RANK(Table1[[#This Row],[Sagarin]],Table1[Sagarin])</f>
        <v>90</v>
      </c>
      <c r="J88" s="44" t="str">
        <f ca="1">IFERROR(AVERAGE('Adj Data'!E87,'Adj Data'!F87),"")</f>
        <v/>
      </c>
      <c r="K88" s="64" t="str">
        <f ca="1">IFERROR(RANK(Table1[[#This Row],[Preseason]],Table1[Preseason]),"")</f>
        <v/>
      </c>
    </row>
    <row r="89" spans="1:11" x14ac:dyDescent="0.3">
      <c r="A89" s="64">
        <f ca="1">RANK(Table1[[#This Row],[Composite]],Table1[Composite])</f>
        <v>85</v>
      </c>
      <c r="B89" s="67" t="str">
        <f>'Adj Data'!A78</f>
        <v>UNC Wilmington</v>
      </c>
      <c r="C89" s="44">
        <f ca="1">'Adj Data'!G78</f>
        <v>79.158700227128932</v>
      </c>
      <c r="D89" s="44">
        <f ca="1">'Adj Data'!B78</f>
        <v>80.626952523014609</v>
      </c>
      <c r="E89" s="64">
        <f ca="1">RANK(Table1[[#This Row],[Kenpom]],Table1[Kenpom])</f>
        <v>73</v>
      </c>
      <c r="F89" s="44">
        <f ca="1">'Adj Data'!C78</f>
        <v>79.269148158372218</v>
      </c>
      <c r="G89" s="64">
        <f ca="1">RANK(Table1[[#This Row],[PVA]],Table1[PVA])</f>
        <v>79</v>
      </c>
      <c r="H89" s="44">
        <f ca="1">'Adj Data'!D78</f>
        <v>77.58</v>
      </c>
      <c r="I89" s="64">
        <f ca="1">RANK(Table1[[#This Row],[Sagarin]],Table1[Sagarin])</f>
        <v>98</v>
      </c>
      <c r="J89" s="44" t="str">
        <f ca="1">IFERROR(AVERAGE('Adj Data'!E78,'Adj Data'!F78),"")</f>
        <v/>
      </c>
      <c r="K89" s="64" t="str">
        <f ca="1">IFERROR(RANK(Table1[[#This Row],[Preseason]],Table1[Preseason]),"")</f>
        <v/>
      </c>
    </row>
    <row r="90" spans="1:11" x14ac:dyDescent="0.3">
      <c r="A90" s="64">
        <f ca="1">RANK(Table1[[#This Row],[Composite]],Table1[Composite])</f>
        <v>90</v>
      </c>
      <c r="B90" s="67" t="str">
        <f>'Adj Data'!A94</f>
        <v>Oklahoma State</v>
      </c>
      <c r="C90" s="44">
        <f ca="1">'Adj Data'!G94</f>
        <v>78.93597796040595</v>
      </c>
      <c r="D90" s="44">
        <f ca="1">'Adj Data'!B94</f>
        <v>78.182870314468872</v>
      </c>
      <c r="E90" s="64">
        <f ca="1">RANK(Table1[[#This Row],[Kenpom]],Table1[Kenpom])</f>
        <v>104</v>
      </c>
      <c r="F90" s="44">
        <f ca="1">'Adj Data'!C94</f>
        <v>76.684300313097424</v>
      </c>
      <c r="G90" s="64">
        <f ca="1">RANK(Table1[[#This Row],[PVA]],Table1[PVA])</f>
        <v>105</v>
      </c>
      <c r="H90" s="44">
        <f ca="1">'Adj Data'!D94</f>
        <v>78.56</v>
      </c>
      <c r="I90" s="64">
        <f ca="1">RANK(Table1[[#This Row],[Sagarin]],Table1[Sagarin])</f>
        <v>82</v>
      </c>
      <c r="J90" s="44">
        <f ca="1">IFERROR(AVERAGE('Adj Data'!E94,'Adj Data'!F94),"")</f>
        <v>82.316741214057515</v>
      </c>
      <c r="K90" s="64">
        <f ca="1">IFERROR(RANK(Table1[[#This Row],[Preseason]],Table1[Preseason]),"")</f>
        <v>50</v>
      </c>
    </row>
    <row r="91" spans="1:11" x14ac:dyDescent="0.3">
      <c r="A91" s="64">
        <f ca="1">RANK(Table1[[#This Row],[Composite]],Table1[Composite])</f>
        <v>86</v>
      </c>
      <c r="B91" s="67" t="str">
        <f>'Adj Data'!A97</f>
        <v>Marquette</v>
      </c>
      <c r="C91" s="44">
        <f ca="1">'Adj Data'!G97</f>
        <v>79.058748290468927</v>
      </c>
      <c r="D91" s="44">
        <f ca="1">'Adj Data'!B97</f>
        <v>78.337511318404637</v>
      </c>
      <c r="E91" s="64">
        <f ca="1">RANK(Table1[[#This Row],[Kenpom]],Table1[Kenpom])</f>
        <v>102</v>
      </c>
      <c r="F91" s="44">
        <f ca="1">'Adj Data'!C97</f>
        <v>77.847481843471073</v>
      </c>
      <c r="G91" s="64">
        <f ca="1">RANK(Table1[[#This Row],[PVA]],Table1[PVA])</f>
        <v>93</v>
      </c>
      <c r="H91" s="44">
        <f ca="1">'Adj Data'!D97</f>
        <v>77.739999999999995</v>
      </c>
      <c r="I91" s="64">
        <f ca="1">RANK(Table1[[#This Row],[Sagarin]],Table1[Sagarin])</f>
        <v>95</v>
      </c>
      <c r="J91" s="44">
        <f ca="1">IFERROR(AVERAGE('Adj Data'!E97,'Adj Data'!F97),"")</f>
        <v>82.31</v>
      </c>
      <c r="K91" s="64">
        <f ca="1">IFERROR(RANK(Table1[[#This Row],[Preseason]],Table1[Preseason]),"")</f>
        <v>52</v>
      </c>
    </row>
    <row r="92" spans="1:11" x14ac:dyDescent="0.3">
      <c r="A92" s="64">
        <f ca="1">RANK(Table1[[#This Row],[Composite]],Table1[Composite])</f>
        <v>88</v>
      </c>
      <c r="B92" s="67" t="str">
        <f>'Adj Data'!A93</f>
        <v>Temple</v>
      </c>
      <c r="C92" s="44">
        <f ca="1">'Adj Data'!G93</f>
        <v>78.989662033290799</v>
      </c>
      <c r="D92" s="44">
        <f ca="1">'Adj Data'!B93</f>
        <v>79.740595549236446</v>
      </c>
      <c r="E92" s="64">
        <f ca="1">RANK(Table1[[#This Row],[Kenpom]],Table1[Kenpom])</f>
        <v>86</v>
      </c>
      <c r="F92" s="44">
        <f ca="1">'Adj Data'!C93</f>
        <v>79.398390550635952</v>
      </c>
      <c r="G92" s="64">
        <f ca="1">RANK(Table1[[#This Row],[PVA]],Table1[PVA])</f>
        <v>75</v>
      </c>
      <c r="H92" s="44">
        <f ca="1">'Adj Data'!D93</f>
        <v>77.83</v>
      </c>
      <c r="I92" s="64">
        <f ca="1">RANK(Table1[[#This Row],[Sagarin]],Table1[Sagarin])</f>
        <v>91</v>
      </c>
      <c r="J92" s="44" t="str">
        <f ca="1">IFERROR(AVERAGE('Adj Data'!E93,'Adj Data'!F93),"")</f>
        <v/>
      </c>
      <c r="K92" s="64" t="str">
        <f ca="1">IFERROR(RANK(Table1[[#This Row],[Preseason]],Table1[Preseason]),"")</f>
        <v/>
      </c>
    </row>
    <row r="93" spans="1:11" x14ac:dyDescent="0.3">
      <c r="A93" s="64">
        <f ca="1">RANK(Table1[[#This Row],[Composite]],Table1[Composite])</f>
        <v>91</v>
      </c>
      <c r="B93" s="67" t="str">
        <f>'Adj Data'!A138</f>
        <v>Old Dominion</v>
      </c>
      <c r="C93" s="44">
        <f ca="1">'Adj Data'!G138</f>
        <v>78.896924814647988</v>
      </c>
      <c r="D93" s="44">
        <f ca="1">'Adj Data'!B138</f>
        <v>77.43229568560993</v>
      </c>
      <c r="E93" s="64">
        <f ca="1">RANK(Table1[[#This Row],[Kenpom]],Table1[Kenpom])</f>
        <v>110</v>
      </c>
      <c r="F93" s="44">
        <f ca="1">'Adj Data'!C138</f>
        <v>75.908845959514977</v>
      </c>
      <c r="G93" s="64">
        <f ca="1">RANK(Table1[[#This Row],[PVA]],Table1[PVA])</f>
        <v>109</v>
      </c>
      <c r="H93" s="44">
        <f ca="1">'Adj Data'!D138</f>
        <v>76.510000000000005</v>
      </c>
      <c r="I93" s="64">
        <f ca="1">RANK(Table1[[#This Row],[Sagarin]],Table1[Sagarin])</f>
        <v>108</v>
      </c>
      <c r="J93" s="44">
        <f ca="1">IFERROR(AVERAGE('Adj Data'!E138,'Adj Data'!F138),"")</f>
        <v>82.316741214057515</v>
      </c>
      <c r="K93" s="64">
        <f ca="1">IFERROR(RANK(Table1[[#This Row],[Preseason]],Table1[Preseason]),"")</f>
        <v>50</v>
      </c>
    </row>
    <row r="94" spans="1:11" x14ac:dyDescent="0.3">
      <c r="A94" s="64">
        <f ca="1">RANK(Table1[[#This Row],[Composite]],Table1[Composite])</f>
        <v>93</v>
      </c>
      <c r="B94" s="67" t="str">
        <f>'Adj Data'!A92</f>
        <v>Arizona State</v>
      </c>
      <c r="C94" s="44">
        <f ca="1">'Adj Data'!G92</f>
        <v>78.681088403558746</v>
      </c>
      <c r="D94" s="44">
        <f ca="1">'Adj Data'!B92</f>
        <v>78.74108662135896</v>
      </c>
      <c r="E94" s="64">
        <f ca="1">RANK(Table1[[#This Row],[Kenpom]],Table1[Kenpom])</f>
        <v>99</v>
      </c>
      <c r="F94" s="44">
        <f ca="1">'Adj Data'!C92</f>
        <v>78.752178589317253</v>
      </c>
      <c r="G94" s="64">
        <f ca="1">RANK(Table1[[#This Row],[PVA]],Table1[PVA])</f>
        <v>83</v>
      </c>
      <c r="H94" s="44">
        <f ca="1">'Adj Data'!D92</f>
        <v>78.55</v>
      </c>
      <c r="I94" s="64">
        <f ca="1">RANK(Table1[[#This Row],[Sagarin]],Table1[Sagarin])</f>
        <v>85</v>
      </c>
      <c r="J94" s="44" t="str">
        <f ca="1">IFERROR(AVERAGE('Adj Data'!E92,'Adj Data'!F92),"")</f>
        <v/>
      </c>
      <c r="K94" s="64" t="str">
        <f ca="1">IFERROR(RANK(Table1[[#This Row],[Preseason]],Table1[Preseason]),"")</f>
        <v/>
      </c>
    </row>
    <row r="95" spans="1:11" x14ac:dyDescent="0.3">
      <c r="A95" s="64">
        <f ca="1">RANK(Table1[[#This Row],[Composite]],Table1[Composite])</f>
        <v>94</v>
      </c>
      <c r="B95" s="67" t="str">
        <f>'Adj Data'!A82</f>
        <v>Alabama</v>
      </c>
      <c r="C95" s="44">
        <f ca="1">'Adj Data'!G82</f>
        <v>78.548392536455864</v>
      </c>
      <c r="D95" s="44">
        <f ca="1">'Adj Data'!B82</f>
        <v>79.072999020050347</v>
      </c>
      <c r="E95" s="64">
        <f ca="1">RANK(Table1[[#This Row],[Kenpom]],Table1[Kenpom])</f>
        <v>97</v>
      </c>
      <c r="F95" s="44">
        <f ca="1">'Adj Data'!C82</f>
        <v>78.752178589317253</v>
      </c>
      <c r="G95" s="64">
        <f ca="1">RANK(Table1[[#This Row],[PVA]],Table1[PVA])</f>
        <v>83</v>
      </c>
      <c r="H95" s="44">
        <f ca="1">'Adj Data'!D82</f>
        <v>77.819999999999993</v>
      </c>
      <c r="I95" s="64">
        <f ca="1">RANK(Table1[[#This Row],[Sagarin]],Table1[Sagarin])</f>
        <v>92</v>
      </c>
      <c r="J95" s="44" t="str">
        <f ca="1">IFERROR(AVERAGE('Adj Data'!E82,'Adj Data'!F82),"")</f>
        <v/>
      </c>
      <c r="K95" s="64" t="str">
        <f ca="1">IFERROR(RANK(Table1[[#This Row],[Preseason]],Table1[Preseason]),"")</f>
        <v/>
      </c>
    </row>
    <row r="96" spans="1:11" x14ac:dyDescent="0.3">
      <c r="A96" s="64">
        <f ca="1">RANK(Table1[[#This Row],[Composite]],Table1[Composite])</f>
        <v>95</v>
      </c>
      <c r="B96" s="67" t="str">
        <f>'Adj Data'!A98</f>
        <v>Nebraska</v>
      </c>
      <c r="C96" s="44">
        <f ca="1">'Adj Data'!G98</f>
        <v>78.426955817891624</v>
      </c>
      <c r="D96" s="44">
        <f ca="1">'Adj Data'!B98</f>
        <v>78.699597571522531</v>
      </c>
      <c r="E96" s="64">
        <f ca="1">RANK(Table1[[#This Row],[Kenpom]],Table1[Kenpom])</f>
        <v>100</v>
      </c>
      <c r="F96" s="44">
        <f ca="1">'Adj Data'!C98</f>
        <v>77.201269882152374</v>
      </c>
      <c r="G96" s="64">
        <f ca="1">RANK(Table1[[#This Row],[PVA]],Table1[PVA])</f>
        <v>99</v>
      </c>
      <c r="H96" s="44">
        <f ca="1">'Adj Data'!D98</f>
        <v>79.38</v>
      </c>
      <c r="I96" s="64">
        <f ca="1">RANK(Table1[[#This Row],[Sagarin]],Table1[Sagarin])</f>
        <v>77</v>
      </c>
      <c r="J96" s="44" t="str">
        <f ca="1">IFERROR(AVERAGE('Adj Data'!E98,'Adj Data'!F98),"")</f>
        <v/>
      </c>
      <c r="K96" s="64" t="str">
        <f ca="1">IFERROR(RANK(Table1[[#This Row],[Preseason]],Table1[Preseason]),"")</f>
        <v/>
      </c>
    </row>
    <row r="97" spans="1:11" x14ac:dyDescent="0.3">
      <c r="A97" s="64">
        <f ca="1">RANK(Table1[[#This Row],[Composite]],Table1[Composite])</f>
        <v>98</v>
      </c>
      <c r="B97" s="67" t="str">
        <f>'Adj Data'!A111</f>
        <v>Davidson</v>
      </c>
      <c r="C97" s="44">
        <f ca="1">'Adj Data'!G111</f>
        <v>78.291930643129348</v>
      </c>
      <c r="D97" s="44">
        <f ca="1">'Adj Data'!B111</f>
        <v>77.040035578065556</v>
      </c>
      <c r="E97" s="64">
        <f ca="1">RANK(Table1[[#This Row],[Kenpom]],Table1[Kenpom])</f>
        <v>114</v>
      </c>
      <c r="F97" s="44">
        <f ca="1">'Adj Data'!C111</f>
        <v>77.201269882152374</v>
      </c>
      <c r="G97" s="64">
        <f ca="1">RANK(Table1[[#This Row],[PVA]],Table1[PVA])</f>
        <v>99</v>
      </c>
      <c r="H97" s="44">
        <f ca="1">'Adj Data'!D111</f>
        <v>76.56</v>
      </c>
      <c r="I97" s="64">
        <f ca="1">RANK(Table1[[#This Row],[Sagarin]],Table1[Sagarin])</f>
        <v>105</v>
      </c>
      <c r="J97" s="44">
        <f ca="1">IFERROR(AVERAGE('Adj Data'!E111,'Adj Data'!F111),"")</f>
        <v>82.366417112299473</v>
      </c>
      <c r="K97" s="64">
        <f ca="1">IFERROR(RANK(Table1[[#This Row],[Preseason]],Table1[Preseason]),"")</f>
        <v>42</v>
      </c>
    </row>
    <row r="98" spans="1:11" x14ac:dyDescent="0.3">
      <c r="A98" s="64">
        <f ca="1">RANK(Table1[[#This Row],[Composite]],Table1[Composite])</f>
        <v>96</v>
      </c>
      <c r="B98" s="67" t="str">
        <f>'Adj Data'!A77</f>
        <v>JMU</v>
      </c>
      <c r="C98" s="44">
        <f ca="1">'Adj Data'!G77</f>
        <v>78.394217538466464</v>
      </c>
      <c r="D98" s="44">
        <f ca="1">'Adj Data'!B77</f>
        <v>79.627443595137109</v>
      </c>
      <c r="E98" s="64">
        <f ca="1">RANK(Table1[[#This Row],[Kenpom]],Table1[Kenpom])</f>
        <v>89</v>
      </c>
      <c r="F98" s="44">
        <f ca="1">'Adj Data'!C77</f>
        <v>78.235209020262289</v>
      </c>
      <c r="G98" s="64">
        <f ca="1">RANK(Table1[[#This Row],[PVA]],Table1[PVA])</f>
        <v>88</v>
      </c>
      <c r="H98" s="44">
        <f ca="1">'Adj Data'!D77</f>
        <v>77.319999999999993</v>
      </c>
      <c r="I98" s="64">
        <f ca="1">RANK(Table1[[#This Row],[Sagarin]],Table1[Sagarin])</f>
        <v>100</v>
      </c>
      <c r="J98" s="44" t="str">
        <f ca="1">IFERROR(AVERAGE('Adj Data'!E77,'Adj Data'!F77),"")</f>
        <v/>
      </c>
      <c r="K98" s="64" t="str">
        <f ca="1">IFERROR(RANK(Table1[[#This Row],[Preseason]],Table1[Preseason]),"")</f>
        <v/>
      </c>
    </row>
    <row r="99" spans="1:11" x14ac:dyDescent="0.3">
      <c r="A99" s="64">
        <f ca="1">RANK(Table1[[#This Row],[Composite]],Table1[Composite])</f>
        <v>97</v>
      </c>
      <c r="B99" s="67" t="str">
        <f>'Adj Data'!A99</f>
        <v>William &amp; Mary</v>
      </c>
      <c r="C99" s="44">
        <f ca="1">'Adj Data'!G99</f>
        <v>78.309188562728707</v>
      </c>
      <c r="D99" s="44">
        <f ca="1">'Adj Data'!B99</f>
        <v>79.612356667923862</v>
      </c>
      <c r="E99" s="64">
        <f ca="1">RANK(Table1[[#This Row],[Kenpom]],Table1[Kenpom])</f>
        <v>90</v>
      </c>
      <c r="F99" s="44">
        <f ca="1">'Adj Data'!C99</f>
        <v>78.235209020262289</v>
      </c>
      <c r="G99" s="64">
        <f ca="1">RANK(Table1[[#This Row],[PVA]],Table1[PVA])</f>
        <v>88</v>
      </c>
      <c r="H99" s="44">
        <f ca="1">'Adj Data'!D99</f>
        <v>77.08</v>
      </c>
      <c r="I99" s="64">
        <f ca="1">RANK(Table1[[#This Row],[Sagarin]],Table1[Sagarin])</f>
        <v>101</v>
      </c>
      <c r="J99" s="44" t="str">
        <f ca="1">IFERROR(AVERAGE('Adj Data'!E99,'Adj Data'!F99),"")</f>
        <v/>
      </c>
      <c r="K99" s="64" t="str">
        <f ca="1">IFERROR(RANK(Table1[[#This Row],[Preseason]],Table1[Preseason]),"")</f>
        <v/>
      </c>
    </row>
    <row r="100" spans="1:11" x14ac:dyDescent="0.3">
      <c r="A100" s="64">
        <f ca="1">RANK(Table1[[#This Row],[Composite]],Table1[Composite])</f>
        <v>99</v>
      </c>
      <c r="B100" s="67" t="str">
        <f>'Adj Data'!A91</f>
        <v>Oakland</v>
      </c>
      <c r="C100" s="44">
        <f ca="1">'Adj Data'!G91</f>
        <v>78.246813749304536</v>
      </c>
      <c r="D100" s="44">
        <f ca="1">'Adj Data'!B91</f>
        <v>78.763717012178816</v>
      </c>
      <c r="E100" s="64">
        <f ca="1">RANK(Table1[[#This Row],[Kenpom]],Table1[Kenpom])</f>
        <v>98</v>
      </c>
      <c r="F100" s="44">
        <f ca="1">'Adj Data'!C91</f>
        <v>77.976724235734821</v>
      </c>
      <c r="G100" s="64">
        <f ca="1">RANK(Table1[[#This Row],[PVA]],Table1[PVA])</f>
        <v>91</v>
      </c>
      <c r="H100" s="44">
        <f ca="1">'Adj Data'!D91</f>
        <v>78</v>
      </c>
      <c r="I100" s="64">
        <f ca="1">RANK(Table1[[#This Row],[Sagarin]],Table1[Sagarin])</f>
        <v>88</v>
      </c>
      <c r="J100" s="44" t="str">
        <f ca="1">IFERROR(AVERAGE('Adj Data'!E91,'Adj Data'!F91),"")</f>
        <v/>
      </c>
      <c r="K100" s="64" t="str">
        <f ca="1">IFERROR(RANK(Table1[[#This Row],[Preseason]],Table1[Preseason]),"")</f>
        <v/>
      </c>
    </row>
    <row r="101" spans="1:11" x14ac:dyDescent="0.3">
      <c r="A101" s="64">
        <f ca="1">RANK(Table1[[#This Row],[Composite]],Table1[Composite])</f>
        <v>102</v>
      </c>
      <c r="B101" s="67" t="str">
        <f>'Adj Data'!A76</f>
        <v>Stony Brook</v>
      </c>
      <c r="C101" s="44">
        <f ca="1">'Adj Data'!G76</f>
        <v>78.022961246834129</v>
      </c>
      <c r="D101" s="44">
        <f ca="1">'Adj Data'!B76</f>
        <v>79.26912907382254</v>
      </c>
      <c r="E101" s="64">
        <f ca="1">RANK(Table1[[#This Row],[Kenpom]],Table1[Kenpom])</f>
        <v>92</v>
      </c>
      <c r="F101" s="44">
        <f ca="1">'Adj Data'!C76</f>
        <v>77.459754666679856</v>
      </c>
      <c r="G101" s="64">
        <f ca="1">RANK(Table1[[#This Row],[PVA]],Table1[PVA])</f>
        <v>97</v>
      </c>
      <c r="H101" s="44">
        <f ca="1">'Adj Data'!D76</f>
        <v>77.34</v>
      </c>
      <c r="I101" s="64">
        <f ca="1">RANK(Table1[[#This Row],[Sagarin]],Table1[Sagarin])</f>
        <v>99</v>
      </c>
      <c r="J101" s="44" t="str">
        <f ca="1">IFERROR(AVERAGE('Adj Data'!E76,'Adj Data'!F76),"")</f>
        <v/>
      </c>
      <c r="K101" s="64" t="str">
        <f ca="1">IFERROR(RANK(Table1[[#This Row],[Preseason]],Table1[Preseason]),"")</f>
        <v/>
      </c>
    </row>
    <row r="102" spans="1:11" x14ac:dyDescent="0.3">
      <c r="A102" s="64">
        <f ca="1">RANK(Table1[[#This Row],[Composite]],Table1[Composite])</f>
        <v>100</v>
      </c>
      <c r="B102" s="67" t="str">
        <f>'Adj Data'!A80</f>
        <v>Hofstra</v>
      </c>
      <c r="C102" s="44">
        <f ca="1">'Adj Data'!G80</f>
        <v>78.206328760149248</v>
      </c>
      <c r="D102" s="44">
        <f ca="1">'Adj Data'!B80</f>
        <v>80.20074682924043</v>
      </c>
      <c r="E102" s="64">
        <f ca="1">RANK(Table1[[#This Row],[Kenpom]],Table1[Kenpom])</f>
        <v>78</v>
      </c>
      <c r="F102" s="44">
        <f ca="1">'Adj Data'!C80</f>
        <v>77.718239451207339</v>
      </c>
      <c r="G102" s="64">
        <f ca="1">RANK(Table1[[#This Row],[PVA]],Table1[PVA])</f>
        <v>94</v>
      </c>
      <c r="H102" s="44">
        <f ca="1">'Adj Data'!D80</f>
        <v>76.7</v>
      </c>
      <c r="I102" s="64">
        <f ca="1">RANK(Table1[[#This Row],[Sagarin]],Table1[Sagarin])</f>
        <v>103</v>
      </c>
      <c r="J102" s="44" t="str">
        <f ca="1">IFERROR(AVERAGE('Adj Data'!E80,'Adj Data'!F80),"")</f>
        <v/>
      </c>
      <c r="K102" s="64" t="str">
        <f ca="1">IFERROR(RANK(Table1[[#This Row],[Preseason]],Table1[Preseason]),"")</f>
        <v/>
      </c>
    </row>
    <row r="103" spans="1:11" x14ac:dyDescent="0.3">
      <c r="A103" s="64">
        <f ca="1">RANK(Table1[[#This Row],[Composite]],Table1[Composite])</f>
        <v>103</v>
      </c>
      <c r="B103" s="67" t="str">
        <f>'Adj Data'!A79</f>
        <v>Stanford</v>
      </c>
      <c r="C103" s="44">
        <f ca="1">'Adj Data'!G79</f>
        <v>77.820931748120543</v>
      </c>
      <c r="D103" s="44">
        <f ca="1">'Adj Data'!B79</f>
        <v>77.824555793154303</v>
      </c>
      <c r="E103" s="64">
        <f ca="1">RANK(Table1[[#This Row],[Kenpom]],Table1[Kenpom])</f>
        <v>108</v>
      </c>
      <c r="F103" s="44">
        <f ca="1">'Adj Data'!C79</f>
        <v>77.718239451207339</v>
      </c>
      <c r="G103" s="64">
        <f ca="1">RANK(Table1[[#This Row],[PVA]],Table1[PVA])</f>
        <v>94</v>
      </c>
      <c r="H103" s="44">
        <f ca="1">'Adj Data'!D79</f>
        <v>77.92</v>
      </c>
      <c r="I103" s="64">
        <f ca="1">RANK(Table1[[#This Row],[Sagarin]],Table1[Sagarin])</f>
        <v>89</v>
      </c>
      <c r="J103" s="44" t="str">
        <f ca="1">IFERROR(AVERAGE('Adj Data'!E79,'Adj Data'!F79),"")</f>
        <v/>
      </c>
      <c r="K103" s="64" t="str">
        <f ca="1">IFERROR(RANK(Table1[[#This Row],[Preseason]],Table1[Preseason]),"")</f>
        <v/>
      </c>
    </row>
    <row r="104" spans="1:11" x14ac:dyDescent="0.3">
      <c r="A104" s="64">
        <f ca="1">RANK(Table1[[#This Row],[Composite]],Table1[Composite])</f>
        <v>104</v>
      </c>
      <c r="B104" s="67" t="str">
        <f>'Adj Data'!A101</f>
        <v>Richmond</v>
      </c>
      <c r="C104" s="44">
        <f ca="1">'Adj Data'!G101</f>
        <v>77.654768956206851</v>
      </c>
      <c r="D104" s="44">
        <f ca="1">'Adj Data'!B101</f>
        <v>77.436067417413227</v>
      </c>
      <c r="E104" s="64">
        <f ca="1">RANK(Table1[[#This Row],[Kenpom]],Table1[Kenpom])</f>
        <v>109</v>
      </c>
      <c r="F104" s="44">
        <f ca="1">'Adj Data'!C101</f>
        <v>77.718239451207339</v>
      </c>
      <c r="G104" s="64">
        <f ca="1">RANK(Table1[[#This Row],[PVA]],Table1[PVA])</f>
        <v>94</v>
      </c>
      <c r="H104" s="44">
        <f ca="1">'Adj Data'!D101</f>
        <v>77.81</v>
      </c>
      <c r="I104" s="64">
        <f ca="1">RANK(Table1[[#This Row],[Sagarin]],Table1[Sagarin])</f>
        <v>94</v>
      </c>
      <c r="J104" s="44" t="str">
        <f ca="1">IFERROR(AVERAGE('Adj Data'!E101,'Adj Data'!F101),"")</f>
        <v/>
      </c>
      <c r="K104" s="64" t="str">
        <f ca="1">IFERROR(RANK(Table1[[#This Row],[Preseason]],Table1[Preseason]),"")</f>
        <v/>
      </c>
    </row>
    <row r="105" spans="1:11" x14ac:dyDescent="0.3">
      <c r="A105" s="64">
        <f ca="1">RANK(Table1[[#This Row],[Composite]],Table1[Composite])</f>
        <v>101</v>
      </c>
      <c r="B105" s="67" t="str">
        <f>'Adj Data'!A96</f>
        <v>UT Arlington</v>
      </c>
      <c r="C105" s="44">
        <f ca="1">'Adj Data'!G96</f>
        <v>78.052461610635945</v>
      </c>
      <c r="D105" s="44">
        <f ca="1">'Adj Data'!B96</f>
        <v>79.265357342019215</v>
      </c>
      <c r="E105" s="64">
        <f ca="1">RANK(Table1[[#This Row],[Kenpom]],Table1[Kenpom])</f>
        <v>93</v>
      </c>
      <c r="F105" s="44">
        <f ca="1">'Adj Data'!C96</f>
        <v>77.07202748988864</v>
      </c>
      <c r="G105" s="64">
        <f ca="1">RANK(Table1[[#This Row],[PVA]],Table1[PVA])</f>
        <v>103</v>
      </c>
      <c r="H105" s="44">
        <f ca="1">'Adj Data'!D96</f>
        <v>77.819999999999993</v>
      </c>
      <c r="I105" s="64">
        <f ca="1">RANK(Table1[[#This Row],[Sagarin]],Table1[Sagarin])</f>
        <v>92</v>
      </c>
      <c r="J105" s="44" t="str">
        <f ca="1">IFERROR(AVERAGE('Adj Data'!E96,'Adj Data'!F96),"")</f>
        <v/>
      </c>
      <c r="K105" s="64" t="str">
        <f ca="1">IFERROR(RANK(Table1[[#This Row],[Preseason]],Table1[Preseason]),"")</f>
        <v/>
      </c>
    </row>
    <row r="106" spans="1:11" x14ac:dyDescent="0.3">
      <c r="A106" s="64">
        <f ca="1">RANK(Table1[[#This Row],[Composite]],Table1[Composite])</f>
        <v>105</v>
      </c>
      <c r="B106" s="67" t="str">
        <f>'Adj Data'!A110</f>
        <v>Tennessee</v>
      </c>
      <c r="C106" s="44">
        <f ca="1">'Adj Data'!G110</f>
        <v>77.581982154717892</v>
      </c>
      <c r="D106" s="44">
        <f ca="1">'Adj Data'!B110</f>
        <v>77.194676582001307</v>
      </c>
      <c r="E106" s="64">
        <f ca="1">RANK(Table1[[#This Row],[Kenpom]],Table1[Kenpom])</f>
        <v>113</v>
      </c>
      <c r="F106" s="44">
        <f ca="1">'Adj Data'!C110</f>
        <v>77.201269882152374</v>
      </c>
      <c r="G106" s="64">
        <f ca="1">RANK(Table1[[#This Row],[PVA]],Table1[PVA])</f>
        <v>99</v>
      </c>
      <c r="H106" s="44">
        <f ca="1">'Adj Data'!D110</f>
        <v>78.349999999999994</v>
      </c>
      <c r="I106" s="64">
        <f ca="1">RANK(Table1[[#This Row],[Sagarin]],Table1[Sagarin])</f>
        <v>86</v>
      </c>
      <c r="J106" s="44" t="str">
        <f ca="1">IFERROR(AVERAGE('Adj Data'!E110,'Adj Data'!F110),"")</f>
        <v/>
      </c>
      <c r="K106" s="64" t="str">
        <f ca="1">IFERROR(RANK(Table1[[#This Row],[Preseason]],Table1[Preseason]),"")</f>
        <v/>
      </c>
    </row>
    <row r="107" spans="1:11" x14ac:dyDescent="0.3">
      <c r="A107" s="64">
        <f ca="1">RANK(Table1[[#This Row],[Composite]],Table1[Composite])</f>
        <v>109</v>
      </c>
      <c r="B107" s="67" t="str">
        <f>'Adj Data'!A107</f>
        <v>Chattanooga</v>
      </c>
      <c r="C107" s="44">
        <f ca="1">'Adj Data'!G107</f>
        <v>76.990905337715347</v>
      </c>
      <c r="D107" s="44">
        <f ca="1">'Adj Data'!B107</f>
        <v>77.205991777411242</v>
      </c>
      <c r="E107" s="64">
        <f ca="1">RANK(Table1[[#This Row],[Kenpom]],Table1[Kenpom])</f>
        <v>112</v>
      </c>
      <c r="F107" s="44">
        <f ca="1">'Adj Data'!C107</f>
        <v>77.976724235734821</v>
      </c>
      <c r="G107" s="64">
        <f ca="1">RANK(Table1[[#This Row],[PVA]],Table1[PVA])</f>
        <v>91</v>
      </c>
      <c r="H107" s="44">
        <f ca="1">'Adj Data'!D107</f>
        <v>75.790000000000006</v>
      </c>
      <c r="I107" s="64">
        <f ca="1">RANK(Table1[[#This Row],[Sagarin]],Table1[Sagarin])</f>
        <v>114</v>
      </c>
      <c r="J107" s="44" t="str">
        <f ca="1">IFERROR(AVERAGE('Adj Data'!E107,'Adj Data'!F107),"")</f>
        <v/>
      </c>
      <c r="K107" s="64" t="str">
        <f ca="1">IFERROR(RANK(Table1[[#This Row],[Preseason]],Table1[Preseason]),"")</f>
        <v/>
      </c>
    </row>
    <row r="108" spans="1:11" x14ac:dyDescent="0.3">
      <c r="A108" s="64">
        <f ca="1">RANK(Table1[[#This Row],[Composite]],Table1[Composite])</f>
        <v>106</v>
      </c>
      <c r="B108" s="67" t="str">
        <f>'Adj Data'!A106</f>
        <v>UCSB</v>
      </c>
      <c r="C108" s="44">
        <f ca="1">'Adj Data'!G106</f>
        <v>77.265919628990773</v>
      </c>
      <c r="D108" s="44">
        <f ca="1">'Adj Data'!B106</f>
        <v>79.744367281039757</v>
      </c>
      <c r="E108" s="64">
        <f ca="1">RANK(Table1[[#This Row],[Kenpom]],Table1[Kenpom])</f>
        <v>84</v>
      </c>
      <c r="F108" s="44">
        <f ca="1">'Adj Data'!C106</f>
        <v>75.133391605932545</v>
      </c>
      <c r="G108" s="64">
        <f ca="1">RANK(Table1[[#This Row],[PVA]],Table1[PVA])</f>
        <v>115</v>
      </c>
      <c r="H108" s="44">
        <f ca="1">'Adj Data'!D106</f>
        <v>76.92</v>
      </c>
      <c r="I108" s="64">
        <f ca="1">RANK(Table1[[#This Row],[Sagarin]],Table1[Sagarin])</f>
        <v>102</v>
      </c>
      <c r="J108" s="44" t="str">
        <f ca="1">IFERROR(AVERAGE('Adj Data'!E106,'Adj Data'!F106),"")</f>
        <v/>
      </c>
      <c r="K108" s="64" t="str">
        <f ca="1">IFERROR(RANK(Table1[[#This Row],[Preseason]],Table1[Preseason]),"")</f>
        <v/>
      </c>
    </row>
    <row r="109" spans="1:11" x14ac:dyDescent="0.3">
      <c r="A109" s="64">
        <f ca="1">RANK(Table1[[#This Row],[Composite]],Table1[Composite])</f>
        <v>108</v>
      </c>
      <c r="B109" s="67" t="str">
        <f>'Adj Data'!A125</f>
        <v>Fresno State</v>
      </c>
      <c r="C109" s="44">
        <f ca="1">'Adj Data'!G125</f>
        <v>77.075756280663597</v>
      </c>
      <c r="D109" s="44">
        <f ca="1">'Adj Data'!B125</f>
        <v>77.98296852889338</v>
      </c>
      <c r="E109" s="64">
        <f ca="1">RANK(Table1[[#This Row],[Kenpom]],Table1[Kenpom])</f>
        <v>105</v>
      </c>
      <c r="F109" s="44">
        <f ca="1">'Adj Data'!C125</f>
        <v>76.684300313097424</v>
      </c>
      <c r="G109" s="64">
        <f ca="1">RANK(Table1[[#This Row],[PVA]],Table1[PVA])</f>
        <v>105</v>
      </c>
      <c r="H109" s="44">
        <f ca="1">'Adj Data'!D125</f>
        <v>76.56</v>
      </c>
      <c r="I109" s="64">
        <f ca="1">RANK(Table1[[#This Row],[Sagarin]],Table1[Sagarin])</f>
        <v>105</v>
      </c>
      <c r="J109" s="44" t="str">
        <f ca="1">IFERROR(AVERAGE('Adj Data'!E125,'Adj Data'!F125),"")</f>
        <v/>
      </c>
      <c r="K109" s="64" t="str">
        <f ca="1">IFERROR(RANK(Table1[[#This Row],[Preseason]],Table1[Preseason]),"")</f>
        <v/>
      </c>
    </row>
    <row r="110" spans="1:11" x14ac:dyDescent="0.3">
      <c r="A110" s="64">
        <f ca="1">RANK(Table1[[#This Row],[Composite]],Table1[Composite])</f>
        <v>107</v>
      </c>
      <c r="B110" s="67" t="str">
        <f>'Adj Data'!A104</f>
        <v>Long Beach St</v>
      </c>
      <c r="C110" s="44">
        <f ca="1">'Adj Data'!G104</f>
        <v>77.243294613605102</v>
      </c>
      <c r="D110" s="44">
        <f ca="1">'Adj Data'!B104</f>
        <v>79.212553096772865</v>
      </c>
      <c r="E110" s="64">
        <f ca="1">RANK(Table1[[#This Row],[Kenpom]],Table1[Kenpom])</f>
        <v>94</v>
      </c>
      <c r="F110" s="44">
        <f ca="1">'Adj Data'!C104</f>
        <v>76.167330744042459</v>
      </c>
      <c r="G110" s="64">
        <f ca="1">RANK(Table1[[#This Row],[PVA]],Table1[PVA])</f>
        <v>107</v>
      </c>
      <c r="H110" s="44">
        <f ca="1">'Adj Data'!D104</f>
        <v>76.349999999999994</v>
      </c>
      <c r="I110" s="64">
        <f ca="1">RANK(Table1[[#This Row],[Sagarin]],Table1[Sagarin])</f>
        <v>110</v>
      </c>
      <c r="J110" s="44" t="str">
        <f ca="1">IFERROR(AVERAGE('Adj Data'!E104,'Adj Data'!F104),"")</f>
        <v/>
      </c>
      <c r="K110" s="64" t="str">
        <f ca="1">IFERROR(RANK(Table1[[#This Row],[Preseason]],Table1[Preseason]),"")</f>
        <v/>
      </c>
    </row>
    <row r="111" spans="1:11" x14ac:dyDescent="0.3">
      <c r="A111" s="64">
        <f ca="1">RANK(Table1[[#This Row],[Composite]],Table1[Composite])</f>
        <v>110</v>
      </c>
      <c r="B111" s="67" t="str">
        <f>'Adj Data'!A108</f>
        <v>CSU Bakersfield</v>
      </c>
      <c r="C111" s="44">
        <f ca="1">'Adj Data'!G108</f>
        <v>76.719888034412165</v>
      </c>
      <c r="D111" s="44">
        <f ca="1">'Adj Data'!B108</f>
        <v>79.29930292824902</v>
      </c>
      <c r="E111" s="64">
        <f ca="1">RANK(Table1[[#This Row],[Kenpom]],Table1[Kenpom])</f>
        <v>91</v>
      </c>
      <c r="F111" s="44">
        <f ca="1">'Adj Data'!C108</f>
        <v>75.650361174987495</v>
      </c>
      <c r="G111" s="64">
        <f ca="1">RANK(Table1[[#This Row],[PVA]],Table1[PVA])</f>
        <v>112</v>
      </c>
      <c r="H111" s="44">
        <f ca="1">'Adj Data'!D108</f>
        <v>75.209999999999994</v>
      </c>
      <c r="I111" s="64">
        <f ca="1">RANK(Table1[[#This Row],[Sagarin]],Table1[Sagarin])</f>
        <v>120</v>
      </c>
      <c r="J111" s="44" t="str">
        <f ca="1">IFERROR(AVERAGE('Adj Data'!E108,'Adj Data'!F108),"")</f>
        <v/>
      </c>
      <c r="K111" s="64" t="str">
        <f ca="1">IFERROR(RANK(Table1[[#This Row],[Preseason]],Table1[Preseason]),"")</f>
        <v/>
      </c>
    </row>
    <row r="112" spans="1:11" x14ac:dyDescent="0.3">
      <c r="A112" s="64">
        <f ca="1">RANK(Table1[[#This Row],[Composite]],Table1[Composite])</f>
        <v>111</v>
      </c>
      <c r="B112" s="67" t="str">
        <f>'Adj Data'!A123</f>
        <v>Belmont</v>
      </c>
      <c r="C112" s="44">
        <f ca="1">'Adj Data'!G123</f>
        <v>76.519891464331934</v>
      </c>
      <c r="D112" s="44">
        <f ca="1">'Adj Data'!B123</f>
        <v>74.441312365584054</v>
      </c>
      <c r="E112" s="64">
        <f ca="1">RANK(Table1[[#This Row],[Kenpom]],Table1[Kenpom])</f>
        <v>135</v>
      </c>
      <c r="F112" s="44">
        <f ca="1">'Adj Data'!C123</f>
        <v>75.004149213668796</v>
      </c>
      <c r="G112" s="64">
        <f ca="1">RANK(Table1[[#This Row],[PVA]],Table1[PVA])</f>
        <v>119</v>
      </c>
      <c r="H112" s="44">
        <f ca="1">'Adj Data'!D123</f>
        <v>74.31</v>
      </c>
      <c r="I112" s="64">
        <f ca="1">RANK(Table1[[#This Row],[Sagarin]],Table1[Sagarin])</f>
        <v>128</v>
      </c>
      <c r="J112" s="44">
        <f ca="1">IFERROR(AVERAGE('Adj Data'!E123,'Adj Data'!F123),"")</f>
        <v>82.32410427807487</v>
      </c>
      <c r="K112" s="64">
        <f ca="1">IFERROR(RANK(Table1[[#This Row],[Preseason]],Table1[Preseason]),"")</f>
        <v>47</v>
      </c>
    </row>
    <row r="113" spans="1:11" x14ac:dyDescent="0.3">
      <c r="A113" s="64">
        <f ca="1">RANK(Table1[[#This Row],[Composite]],Table1[Composite])</f>
        <v>112</v>
      </c>
      <c r="B113" s="67" t="str">
        <f>'Adj Data'!A118</f>
        <v>New Mexico St</v>
      </c>
      <c r="C113" s="44">
        <f ca="1">'Adj Data'!G118</f>
        <v>76.475974941554782</v>
      </c>
      <c r="D113" s="44">
        <f ca="1">'Adj Data'!B118</f>
        <v>78.254533218731794</v>
      </c>
      <c r="E113" s="64">
        <f ca="1">RANK(Table1[[#This Row],[Kenpom]],Table1[Kenpom])</f>
        <v>103</v>
      </c>
      <c r="F113" s="44">
        <f ca="1">'Adj Data'!C118</f>
        <v>75.133391605932545</v>
      </c>
      <c r="G113" s="64">
        <f ca="1">RANK(Table1[[#This Row],[PVA]],Table1[PVA])</f>
        <v>115</v>
      </c>
      <c r="H113" s="44">
        <f ca="1">'Adj Data'!D118</f>
        <v>76.040000000000006</v>
      </c>
      <c r="I113" s="64">
        <f ca="1">RANK(Table1[[#This Row],[Sagarin]],Table1[Sagarin])</f>
        <v>111</v>
      </c>
      <c r="J113" s="44" t="str">
        <f ca="1">IFERROR(AVERAGE('Adj Data'!E118,'Adj Data'!F118),"")</f>
        <v/>
      </c>
      <c r="K113" s="64" t="str">
        <f ca="1">IFERROR(RANK(Table1[[#This Row],[Preseason]],Table1[Preseason]),"")</f>
        <v/>
      </c>
    </row>
    <row r="114" spans="1:11" x14ac:dyDescent="0.3">
      <c r="A114" s="64">
        <f ca="1">RANK(Table1[[#This Row],[Composite]],Table1[Composite])</f>
        <v>113</v>
      </c>
      <c r="B114" s="67" t="str">
        <f>'Adj Data'!A116</f>
        <v>UAB</v>
      </c>
      <c r="C114" s="44">
        <f ca="1">'Adj Data'!G116</f>
        <v>76.104305159825572</v>
      </c>
      <c r="D114" s="44">
        <f ca="1">'Adj Data'!B116</f>
        <v>76.911796696752972</v>
      </c>
      <c r="E114" s="64">
        <f ca="1">RANK(Table1[[#This Row],[Kenpom]],Table1[Kenpom])</f>
        <v>115</v>
      </c>
      <c r="F114" s="44">
        <f ca="1">'Adj Data'!C116</f>
        <v>75.521118782723761</v>
      </c>
      <c r="G114" s="64">
        <f ca="1">RANK(Table1[[#This Row],[PVA]],Table1[PVA])</f>
        <v>113</v>
      </c>
      <c r="H114" s="44">
        <f ca="1">'Adj Data'!D116</f>
        <v>75.88</v>
      </c>
      <c r="I114" s="64">
        <f ca="1">RANK(Table1[[#This Row],[Sagarin]],Table1[Sagarin])</f>
        <v>113</v>
      </c>
      <c r="J114" s="44" t="str">
        <f ca="1">IFERROR(AVERAGE('Adj Data'!E116,'Adj Data'!F116),"")</f>
        <v/>
      </c>
      <c r="K114" s="64" t="str">
        <f ca="1">IFERROR(RANK(Table1[[#This Row],[Preseason]],Table1[Preseason]),"")</f>
        <v/>
      </c>
    </row>
    <row r="115" spans="1:11" x14ac:dyDescent="0.3">
      <c r="A115" s="64">
        <f ca="1">RANK(Table1[[#This Row],[Composite]],Table1[Composite])</f>
        <v>117</v>
      </c>
      <c r="B115" s="67" t="str">
        <f>'Adj Data'!A122</f>
        <v>New Mexico</v>
      </c>
      <c r="C115" s="44">
        <f ca="1">'Adj Data'!G122</f>
        <v>75.729710746575122</v>
      </c>
      <c r="D115" s="44">
        <f ca="1">'Adj Data'!B122</f>
        <v>74.999528672474128</v>
      </c>
      <c r="E115" s="64">
        <f ca="1">RANK(Table1[[#This Row],[Kenpom]],Table1[Kenpom])</f>
        <v>128</v>
      </c>
      <c r="F115" s="44">
        <f ca="1">'Adj Data'!C122</f>
        <v>75.779603567251243</v>
      </c>
      <c r="G115" s="64">
        <f ca="1">RANK(Table1[[#This Row],[PVA]],Table1[PVA])</f>
        <v>111</v>
      </c>
      <c r="H115" s="44">
        <f ca="1">'Adj Data'!D122</f>
        <v>76.41</v>
      </c>
      <c r="I115" s="64">
        <f ca="1">RANK(Table1[[#This Row],[Sagarin]],Table1[Sagarin])</f>
        <v>109</v>
      </c>
      <c r="J115" s="44" t="str">
        <f ca="1">IFERROR(AVERAGE('Adj Data'!E122,'Adj Data'!F122),"")</f>
        <v/>
      </c>
      <c r="K115" s="64" t="str">
        <f ca="1">IFERROR(RANK(Table1[[#This Row],[Preseason]],Table1[Preseason]),"")</f>
        <v/>
      </c>
    </row>
    <row r="116" spans="1:11" x14ac:dyDescent="0.3">
      <c r="A116" s="64">
        <f ca="1">RANK(Table1[[#This Row],[Composite]],Table1[Composite])</f>
        <v>118</v>
      </c>
      <c r="B116" s="67" t="str">
        <f>'Adj Data'!A117</f>
        <v>UNLV</v>
      </c>
      <c r="C116" s="44">
        <f ca="1">'Adj Data'!G117</f>
        <v>75.693249475405253</v>
      </c>
      <c r="D116" s="44">
        <f ca="1">'Adj Data'!B117</f>
        <v>74.501660074437041</v>
      </c>
      <c r="E116" s="64">
        <f ca="1">RANK(Table1[[#This Row],[Kenpom]],Table1[Kenpom])</f>
        <v>134</v>
      </c>
      <c r="F116" s="44">
        <f ca="1">'Adj Data'!C117</f>
        <v>76.038088351778725</v>
      </c>
      <c r="G116" s="64">
        <f ca="1">RANK(Table1[[#This Row],[PVA]],Table1[PVA])</f>
        <v>108</v>
      </c>
      <c r="H116" s="44">
        <f ca="1">'Adj Data'!D117</f>
        <v>76.540000000000006</v>
      </c>
      <c r="I116" s="64">
        <f ca="1">RANK(Table1[[#This Row],[Sagarin]],Table1[Sagarin])</f>
        <v>107</v>
      </c>
      <c r="J116" s="44" t="str">
        <f ca="1">IFERROR(AVERAGE('Adj Data'!E117,'Adj Data'!F117),"")</f>
        <v/>
      </c>
      <c r="K116" s="64" t="str">
        <f ca="1">IFERROR(RANK(Table1[[#This Row],[Preseason]],Table1[Preseason]),"")</f>
        <v/>
      </c>
    </row>
    <row r="117" spans="1:11" x14ac:dyDescent="0.3">
      <c r="A117" s="64">
        <f ca="1">RANK(Table1[[#This Row],[Composite]],Table1[Composite])</f>
        <v>119</v>
      </c>
      <c r="B117" s="67" t="str">
        <f>'Adj Data'!A113</f>
        <v>Milwaukee</v>
      </c>
      <c r="C117" s="44">
        <f ca="1">'Adj Data'!G113</f>
        <v>75.547766159472204</v>
      </c>
      <c r="D117" s="44">
        <f ca="1">'Adj Data'!B113</f>
        <v>76.149906872484081</v>
      </c>
      <c r="E117" s="64">
        <f ca="1">RANK(Table1[[#This Row],[Kenpom]],Table1[Kenpom])</f>
        <v>119</v>
      </c>
      <c r="F117" s="44">
        <f ca="1">'Adj Data'!C113</f>
        <v>75.133391605932545</v>
      </c>
      <c r="G117" s="64">
        <f ca="1">RANK(Table1[[#This Row],[PVA]],Table1[PVA])</f>
        <v>115</v>
      </c>
      <c r="H117" s="44">
        <f ca="1">'Adj Data'!D113</f>
        <v>75.36</v>
      </c>
      <c r="I117" s="64">
        <f ca="1">RANK(Table1[[#This Row],[Sagarin]],Table1[Sagarin])</f>
        <v>119</v>
      </c>
      <c r="J117" s="44" t="str">
        <f ca="1">IFERROR(AVERAGE('Adj Data'!E113,'Adj Data'!F113),"")</f>
        <v/>
      </c>
      <c r="K117" s="64" t="str">
        <f ca="1">IFERROR(RANK(Table1[[#This Row],[Preseason]],Table1[Preseason]),"")</f>
        <v/>
      </c>
    </row>
    <row r="118" spans="1:11" x14ac:dyDescent="0.3">
      <c r="A118" s="64">
        <f ca="1">RANK(Table1[[#This Row],[Composite]],Table1[Composite])</f>
        <v>114</v>
      </c>
      <c r="B118" s="67" t="str">
        <f>'Adj Data'!A103</f>
        <v>Columbia</v>
      </c>
      <c r="C118" s="44">
        <f ca="1">'Adj Data'!G103</f>
        <v>76.070328032525467</v>
      </c>
      <c r="D118" s="44">
        <f ca="1">'Adj Data'!B103</f>
        <v>77.398350099380124</v>
      </c>
      <c r="E118" s="64">
        <f ca="1">RANK(Table1[[#This Row],[Kenpom]],Table1[Kenpom])</f>
        <v>111</v>
      </c>
      <c r="F118" s="44">
        <f ca="1">'Adj Data'!C103</f>
        <v>75.262633998196279</v>
      </c>
      <c r="G118" s="64">
        <f ca="1">RANK(Table1[[#This Row],[PVA]],Table1[PVA])</f>
        <v>114</v>
      </c>
      <c r="H118" s="44">
        <f ca="1">'Adj Data'!D103</f>
        <v>75.55</v>
      </c>
      <c r="I118" s="64">
        <f ca="1">RANK(Table1[[#This Row],[Sagarin]],Table1[Sagarin])</f>
        <v>115</v>
      </c>
      <c r="J118" s="44" t="str">
        <f ca="1">IFERROR(AVERAGE('Adj Data'!E103,'Adj Data'!F103),"")</f>
        <v/>
      </c>
      <c r="K118" s="64" t="str">
        <f ca="1">IFERROR(RANK(Table1[[#This Row],[Preseason]],Table1[Preseason]),"")</f>
        <v/>
      </c>
    </row>
    <row r="119" spans="1:11" x14ac:dyDescent="0.3">
      <c r="A119" s="64">
        <f ca="1">RANK(Table1[[#This Row],[Composite]],Table1[Composite])</f>
        <v>125</v>
      </c>
      <c r="B119" s="67" t="str">
        <f>'Adj Data'!A109</f>
        <v>Siena</v>
      </c>
      <c r="C119" s="44">
        <f ca="1">'Adj Data'!G109</f>
        <v>74.950926590681149</v>
      </c>
      <c r="D119" s="44">
        <f ca="1">'Adj Data'!B109</f>
        <v>75.704842519693344</v>
      </c>
      <c r="E119" s="64">
        <f ca="1">RANK(Table1[[#This Row],[Kenpom]],Table1[Kenpom])</f>
        <v>123</v>
      </c>
      <c r="F119" s="44">
        <f ca="1">'Adj Data'!C109</f>
        <v>74.357937252350098</v>
      </c>
      <c r="G119" s="64">
        <f ca="1">RANK(Table1[[#This Row],[PVA]],Table1[PVA])</f>
        <v>127</v>
      </c>
      <c r="H119" s="44">
        <f ca="1">'Adj Data'!D109</f>
        <v>74.790000000000006</v>
      </c>
      <c r="I119" s="64">
        <f ca="1">RANK(Table1[[#This Row],[Sagarin]],Table1[Sagarin])</f>
        <v>123</v>
      </c>
      <c r="J119" s="44" t="str">
        <f ca="1">IFERROR(AVERAGE('Adj Data'!E109,'Adj Data'!F109),"")</f>
        <v/>
      </c>
      <c r="K119" s="64" t="str">
        <f ca="1">IFERROR(RANK(Table1[[#This Row],[Preseason]],Table1[Preseason]),"")</f>
        <v/>
      </c>
    </row>
    <row r="120" spans="1:11" x14ac:dyDescent="0.3">
      <c r="A120" s="64">
        <f ca="1">RANK(Table1[[#This Row],[Composite]],Table1[Composite])</f>
        <v>124</v>
      </c>
      <c r="B120" s="67" t="str">
        <f>'Adj Data'!A137</f>
        <v>UNC Asheville</v>
      </c>
      <c r="C120" s="44">
        <f ca="1">'Adj Data'!G137</f>
        <v>74.97572938072021</v>
      </c>
      <c r="D120" s="44">
        <f ca="1">'Adj Data'!B137</f>
        <v>75.878342182645667</v>
      </c>
      <c r="E120" s="64">
        <f ca="1">RANK(Table1[[#This Row],[Kenpom]],Table1[Kenpom])</f>
        <v>122</v>
      </c>
      <c r="F120" s="44">
        <f ca="1">'Adj Data'!C137</f>
        <v>75.908845959514977</v>
      </c>
      <c r="G120" s="64">
        <f ca="1">RANK(Table1[[#This Row],[PVA]],Table1[PVA])</f>
        <v>109</v>
      </c>
      <c r="H120" s="44">
        <f ca="1">'Adj Data'!D137</f>
        <v>73.14</v>
      </c>
      <c r="I120" s="64">
        <f ca="1">RANK(Table1[[#This Row],[Sagarin]],Table1[Sagarin])</f>
        <v>142</v>
      </c>
      <c r="J120" s="44" t="str">
        <f ca="1">IFERROR(AVERAGE('Adj Data'!E137,'Adj Data'!F137),"")</f>
        <v/>
      </c>
      <c r="K120" s="64" t="str">
        <f ca="1">IFERROR(RANK(Table1[[#This Row],[Preseason]],Table1[Preseason]),"")</f>
        <v/>
      </c>
    </row>
    <row r="121" spans="1:11" x14ac:dyDescent="0.3">
      <c r="A121" s="64">
        <f ca="1">RANK(Table1[[#This Row],[Composite]],Table1[Composite])</f>
        <v>122</v>
      </c>
      <c r="B121" s="67" t="str">
        <f>'Adj Data'!A144</f>
        <v>Illinois</v>
      </c>
      <c r="C121" s="44">
        <f ca="1">'Adj Data'!G144</f>
        <v>75.041995577915301</v>
      </c>
      <c r="D121" s="44">
        <f ca="1">'Adj Data'!B144</f>
        <v>74.920322304604596</v>
      </c>
      <c r="E121" s="64">
        <f ca="1">RANK(Table1[[#This Row],[Kenpom]],Table1[Kenpom])</f>
        <v>131</v>
      </c>
      <c r="F121" s="44">
        <f ca="1">'Adj Data'!C144</f>
        <v>74.745664429141328</v>
      </c>
      <c r="G121" s="64">
        <f ca="1">RANK(Table1[[#This Row],[PVA]],Table1[PVA])</f>
        <v>122</v>
      </c>
      <c r="H121" s="44">
        <f ca="1">'Adj Data'!D144</f>
        <v>75.459999999999994</v>
      </c>
      <c r="I121" s="64">
        <f ca="1">RANK(Table1[[#This Row],[Sagarin]],Table1[Sagarin])</f>
        <v>117</v>
      </c>
      <c r="J121" s="44" t="str">
        <f ca="1">IFERROR(AVERAGE('Adj Data'!E144,'Adj Data'!F144),"")</f>
        <v/>
      </c>
      <c r="K121" s="64" t="str">
        <f ca="1">IFERROR(RANK(Table1[[#This Row],[Preseason]],Table1[Preseason]),"")</f>
        <v/>
      </c>
    </row>
    <row r="122" spans="1:11" x14ac:dyDescent="0.3">
      <c r="A122" s="64">
        <f ca="1">RANK(Table1[[#This Row],[Composite]],Table1[Composite])</f>
        <v>120</v>
      </c>
      <c r="B122" s="67" t="str">
        <f>'Adj Data'!A129</f>
        <v>Wake Forest</v>
      </c>
      <c r="C122" s="44">
        <f ca="1">'Adj Data'!G129</f>
        <v>75.26137460314014</v>
      </c>
      <c r="D122" s="44">
        <f ca="1">'Adj Data'!B129</f>
        <v>74.859974595751623</v>
      </c>
      <c r="E122" s="64">
        <f ca="1">RANK(Table1[[#This Row],[Kenpom]],Table1[Kenpom])</f>
        <v>132</v>
      </c>
      <c r="F122" s="44">
        <f ca="1">'Adj Data'!C129</f>
        <v>75.004149213668796</v>
      </c>
      <c r="G122" s="64">
        <f ca="1">RANK(Table1[[#This Row],[PVA]],Table1[PVA])</f>
        <v>119</v>
      </c>
      <c r="H122" s="44">
        <f ca="1">'Adj Data'!D129</f>
        <v>75.92</v>
      </c>
      <c r="I122" s="64">
        <f ca="1">RANK(Table1[[#This Row],[Sagarin]],Table1[Sagarin])</f>
        <v>112</v>
      </c>
      <c r="J122" s="44" t="str">
        <f ca="1">IFERROR(AVERAGE('Adj Data'!E129,'Adj Data'!F129),"")</f>
        <v/>
      </c>
      <c r="K122" s="64" t="str">
        <f ca="1">IFERROR(RANK(Table1[[#This Row],[Preseason]],Table1[Preseason]),"")</f>
        <v/>
      </c>
    </row>
    <row r="123" spans="1:11" x14ac:dyDescent="0.3">
      <c r="A123" s="64">
        <f ca="1">RANK(Table1[[#This Row],[Composite]],Table1[Composite])</f>
        <v>116</v>
      </c>
      <c r="B123" s="67" t="str">
        <f>'Adj Data'!A114</f>
        <v>LA Lafayette</v>
      </c>
      <c r="C123" s="44">
        <f ca="1">'Adj Data'!G114</f>
        <v>75.7896983960634</v>
      </c>
      <c r="D123" s="44">
        <f ca="1">'Adj Data'!B114</f>
        <v>77.83964272036755</v>
      </c>
      <c r="E123" s="64">
        <f ca="1">RANK(Table1[[#This Row],[Kenpom]],Table1[Kenpom])</f>
        <v>107</v>
      </c>
      <c r="F123" s="44">
        <f ca="1">'Adj Data'!C114</f>
        <v>74.09945246782263</v>
      </c>
      <c r="G123" s="64">
        <f ca="1">RANK(Table1[[#This Row],[PVA]],Table1[PVA])</f>
        <v>133</v>
      </c>
      <c r="H123" s="44">
        <f ca="1">'Adj Data'!D114</f>
        <v>75.430000000000007</v>
      </c>
      <c r="I123" s="64">
        <f ca="1">RANK(Table1[[#This Row],[Sagarin]],Table1[Sagarin])</f>
        <v>118</v>
      </c>
      <c r="J123" s="44" t="str">
        <f ca="1">IFERROR(AVERAGE('Adj Data'!E114,'Adj Data'!F114),"")</f>
        <v/>
      </c>
      <c r="K123" s="64" t="str">
        <f ca="1">IFERROR(RANK(Table1[[#This Row],[Preseason]],Table1[Preseason]),"")</f>
        <v/>
      </c>
    </row>
    <row r="124" spans="1:11" x14ac:dyDescent="0.3">
      <c r="A124" s="64">
        <f ca="1">RANK(Table1[[#This Row],[Composite]],Table1[Composite])</f>
        <v>127</v>
      </c>
      <c r="B124" s="67" t="str">
        <f>'Adj Data'!A143</f>
        <v>Green Bay</v>
      </c>
      <c r="C124" s="44">
        <f ca="1">'Adj Data'!G143</f>
        <v>74.878176058355493</v>
      </c>
      <c r="D124" s="44">
        <f ca="1">'Adj Data'!B143</f>
        <v>75.968863745925148</v>
      </c>
      <c r="E124" s="64">
        <f ca="1">RANK(Table1[[#This Row],[Kenpom]],Table1[Kenpom])</f>
        <v>121</v>
      </c>
      <c r="F124" s="44">
        <f ca="1">'Adj Data'!C143</f>
        <v>74.745664429141328</v>
      </c>
      <c r="G124" s="64">
        <f ca="1">RANK(Table1[[#This Row],[PVA]],Table1[PVA])</f>
        <v>122</v>
      </c>
      <c r="H124" s="44">
        <f ca="1">'Adj Data'!D143</f>
        <v>73.92</v>
      </c>
      <c r="I124" s="64">
        <f ca="1">RANK(Table1[[#This Row],[Sagarin]],Table1[Sagarin])</f>
        <v>133</v>
      </c>
      <c r="J124" s="44" t="str">
        <f ca="1">IFERROR(AVERAGE('Adj Data'!E143,'Adj Data'!F143),"")</f>
        <v/>
      </c>
      <c r="K124" s="64" t="str">
        <f ca="1">IFERROR(RANK(Table1[[#This Row],[Preseason]],Table1[Preseason]),"")</f>
        <v/>
      </c>
    </row>
    <row r="125" spans="1:11" x14ac:dyDescent="0.3">
      <c r="A125" s="64">
        <f ca="1">RANK(Table1[[#This Row],[Composite]],Table1[Composite])</f>
        <v>123</v>
      </c>
      <c r="B125" s="67" t="str">
        <f>'Adj Data'!A119</f>
        <v>Charleston</v>
      </c>
      <c r="C125" s="44">
        <f ca="1">'Adj Data'!G119</f>
        <v>75.01155862128563</v>
      </c>
      <c r="D125" s="44">
        <f ca="1">'Adj Data'!B119</f>
        <v>76.040526650188056</v>
      </c>
      <c r="E125" s="64">
        <f ca="1">RANK(Table1[[#This Row],[Kenpom]],Table1[Kenpom])</f>
        <v>120</v>
      </c>
      <c r="F125" s="44">
        <f ca="1">'Adj Data'!C119</f>
        <v>75.004149213668796</v>
      </c>
      <c r="G125" s="64">
        <f ca="1">RANK(Table1[[#This Row],[PVA]],Table1[PVA])</f>
        <v>119</v>
      </c>
      <c r="H125" s="44">
        <f ca="1">'Adj Data'!D119</f>
        <v>73.989999999999995</v>
      </c>
      <c r="I125" s="64">
        <f ca="1">RANK(Table1[[#This Row],[Sagarin]],Table1[Sagarin])</f>
        <v>131</v>
      </c>
      <c r="J125" s="44" t="str">
        <f ca="1">IFERROR(AVERAGE('Adj Data'!E119,'Adj Data'!F119),"")</f>
        <v/>
      </c>
      <c r="K125" s="64" t="str">
        <f ca="1">IFERROR(RANK(Table1[[#This Row],[Preseason]],Table1[Preseason]),"")</f>
        <v/>
      </c>
    </row>
    <row r="126" spans="1:11" x14ac:dyDescent="0.3">
      <c r="A126" s="64">
        <f ca="1">RANK(Table1[[#This Row],[Composite]],Table1[Composite])</f>
        <v>129</v>
      </c>
      <c r="B126" s="67" t="str">
        <f>'Adj Data'!A146</f>
        <v>Central Michigan</v>
      </c>
      <c r="C126" s="44">
        <f ca="1">'Adj Data'!G146</f>
        <v>74.773271232014878</v>
      </c>
      <c r="D126" s="44">
        <f ca="1">'Adj Data'!B146</f>
        <v>72.483783559665483</v>
      </c>
      <c r="E126" s="64">
        <f ca="1">RANK(Table1[[#This Row],[Kenpom]],Table1[Kenpom])</f>
        <v>157</v>
      </c>
      <c r="F126" s="44">
        <f ca="1">'Adj Data'!C146</f>
        <v>72.419301368394002</v>
      </c>
      <c r="G126" s="64">
        <f ca="1">RANK(Table1[[#This Row],[PVA]],Table1[PVA])</f>
        <v>157</v>
      </c>
      <c r="H126" s="44">
        <f ca="1">'Adj Data'!D146</f>
        <v>71.88</v>
      </c>
      <c r="I126" s="64">
        <f ca="1">RANK(Table1[[#This Row],[Sagarin]],Table1[Sagarin])</f>
        <v>160</v>
      </c>
      <c r="J126" s="44">
        <f ca="1">IFERROR(AVERAGE('Adj Data'!E146,'Adj Data'!F146),"")</f>
        <v>82.31</v>
      </c>
      <c r="K126" s="64">
        <f ca="1">IFERROR(RANK(Table1[[#This Row],[Preseason]],Table1[Preseason]),"")</f>
        <v>52</v>
      </c>
    </row>
    <row r="127" spans="1:11" x14ac:dyDescent="0.3">
      <c r="A127" s="64">
        <f ca="1">RANK(Table1[[#This Row],[Composite]],Table1[Composite])</f>
        <v>126</v>
      </c>
      <c r="B127" s="67" t="str">
        <f>'Adj Data'!A105</f>
        <v>Albany</v>
      </c>
      <c r="C127" s="44">
        <f ca="1">'Adj Data'!G105</f>
        <v>74.897165974898925</v>
      </c>
      <c r="D127" s="44">
        <f ca="1">'Adj Data'!B105</f>
        <v>76.429015025929118</v>
      </c>
      <c r="E127" s="64">
        <f ca="1">RANK(Table1[[#This Row],[Kenpom]],Table1[Kenpom])</f>
        <v>117</v>
      </c>
      <c r="F127" s="44">
        <f ca="1">'Adj Data'!C105</f>
        <v>73.582482898767665</v>
      </c>
      <c r="G127" s="64">
        <f ca="1">RANK(Table1[[#This Row],[PVA]],Table1[PVA])</f>
        <v>141</v>
      </c>
      <c r="H127" s="44">
        <f ca="1">'Adj Data'!D105</f>
        <v>74.680000000000007</v>
      </c>
      <c r="I127" s="64">
        <f ca="1">RANK(Table1[[#This Row],[Sagarin]],Table1[Sagarin])</f>
        <v>125</v>
      </c>
      <c r="J127" s="44" t="str">
        <f ca="1">IFERROR(AVERAGE('Adj Data'!E105,'Adj Data'!F105),"")</f>
        <v/>
      </c>
      <c r="K127" s="64" t="str">
        <f ca="1">IFERROR(RANK(Table1[[#This Row],[Preseason]],Table1[Preseason]),"")</f>
        <v/>
      </c>
    </row>
    <row r="128" spans="1:11" x14ac:dyDescent="0.3">
      <c r="A128" s="64">
        <f ca="1">RANK(Table1[[#This Row],[Composite]],Table1[Composite])</f>
        <v>128</v>
      </c>
      <c r="B128" s="67" t="str">
        <f>'Adj Data'!A120</f>
        <v>Toledo</v>
      </c>
      <c r="C128" s="44">
        <f ca="1">'Adj Data'!G120</f>
        <v>74.829639650088822</v>
      </c>
      <c r="D128" s="44">
        <f ca="1">'Adj Data'!B120</f>
        <v>75.120224090180088</v>
      </c>
      <c r="E128" s="64">
        <f ca="1">RANK(Table1[[#This Row],[Kenpom]],Table1[Kenpom])</f>
        <v>125</v>
      </c>
      <c r="F128" s="44">
        <f ca="1">'Adj Data'!C120</f>
        <v>74.228694860086364</v>
      </c>
      <c r="G128" s="64">
        <f ca="1">RANK(Table1[[#This Row],[PVA]],Table1[PVA])</f>
        <v>131</v>
      </c>
      <c r="H128" s="44">
        <f ca="1">'Adj Data'!D120</f>
        <v>75.14</v>
      </c>
      <c r="I128" s="64">
        <f ca="1">RANK(Table1[[#This Row],[Sagarin]],Table1[Sagarin])</f>
        <v>121</v>
      </c>
      <c r="J128" s="44" t="str">
        <f ca="1">IFERROR(AVERAGE('Adj Data'!E120,'Adj Data'!F120),"")</f>
        <v/>
      </c>
      <c r="K128" s="64" t="str">
        <f ca="1">IFERROR(RANK(Table1[[#This Row],[Preseason]],Table1[Preseason]),"")</f>
        <v/>
      </c>
    </row>
    <row r="129" spans="1:11" x14ac:dyDescent="0.3">
      <c r="A129" s="64">
        <f ca="1">RANK(Table1[[#This Row],[Composite]],Table1[Composite])</f>
        <v>121</v>
      </c>
      <c r="B129" s="67" t="str">
        <f>'Adj Data'!A115</f>
        <v>Illinois State</v>
      </c>
      <c r="C129" s="44">
        <f ca="1">'Adj Data'!G115</f>
        <v>75.062150204363775</v>
      </c>
      <c r="D129" s="44">
        <f ca="1">'Adj Data'!B115</f>
        <v>76.723210106587402</v>
      </c>
      <c r="E129" s="64">
        <f ca="1">RANK(Table1[[#This Row],[Kenpom]],Table1[Kenpom])</f>
        <v>116</v>
      </c>
      <c r="F129" s="44">
        <f ca="1">'Adj Data'!C115</f>
        <v>73.453240506503931</v>
      </c>
      <c r="G129" s="64">
        <f ca="1">RANK(Table1[[#This Row],[PVA]],Table1[PVA])</f>
        <v>143</v>
      </c>
      <c r="H129" s="44">
        <f ca="1">'Adj Data'!D115</f>
        <v>75.010000000000005</v>
      </c>
      <c r="I129" s="64">
        <f ca="1">RANK(Table1[[#This Row],[Sagarin]],Table1[Sagarin])</f>
        <v>122</v>
      </c>
      <c r="J129" s="44" t="str">
        <f ca="1">IFERROR(AVERAGE('Adj Data'!E115,'Adj Data'!F115),"")</f>
        <v/>
      </c>
      <c r="K129" s="64" t="str">
        <f ca="1">IFERROR(RANK(Table1[[#This Row],[Preseason]],Table1[Preseason]),"")</f>
        <v/>
      </c>
    </row>
    <row r="130" spans="1:11" x14ac:dyDescent="0.3">
      <c r="A130" s="64">
        <f ca="1">RANK(Table1[[#This Row],[Composite]],Table1[Composite])</f>
        <v>115</v>
      </c>
      <c r="B130" s="67" t="str">
        <f>'Adj Data'!A152</f>
        <v>Middle Tennessee</v>
      </c>
      <c r="C130" s="44">
        <f ca="1">'Adj Data'!G152</f>
        <v>75.806849404544138</v>
      </c>
      <c r="D130" s="44">
        <f ca="1">'Adj Data'!B152</f>
        <v>77.96033813807351</v>
      </c>
      <c r="E130" s="64">
        <f ca="1">RANK(Table1[[#This Row],[Kenpom]],Table1[Kenpom])</f>
        <v>106</v>
      </c>
      <c r="F130" s="44">
        <f ca="1">'Adj Data'!C152</f>
        <v>73.970210075558882</v>
      </c>
      <c r="G130" s="64">
        <f ca="1">RANK(Table1[[#This Row],[PVA]],Table1[PVA])</f>
        <v>134</v>
      </c>
      <c r="H130" s="44">
        <f ca="1">'Adj Data'!D152</f>
        <v>75.489999999999995</v>
      </c>
      <c r="I130" s="64">
        <f ca="1">RANK(Table1[[#This Row],[Sagarin]],Table1[Sagarin])</f>
        <v>116</v>
      </c>
      <c r="J130" s="44" t="str">
        <f ca="1">IFERROR(AVERAGE('Adj Data'!E152,'Adj Data'!F152),"")</f>
        <v/>
      </c>
      <c r="K130" s="64" t="str">
        <f ca="1">IFERROR(RANK(Table1[[#This Row],[Preseason]],Table1[Preseason]),"")</f>
        <v/>
      </c>
    </row>
    <row r="131" spans="1:11" x14ac:dyDescent="0.3">
      <c r="A131" s="64">
        <f ca="1">RANK(Table1[[#This Row],[Composite]],Table1[Composite])</f>
        <v>130</v>
      </c>
      <c r="B131" s="67" t="str">
        <f>'Adj Data'!A124</f>
        <v>Grand Canyon</v>
      </c>
      <c r="C131" s="44">
        <f ca="1">'Adj Data'!G124</f>
        <v>74.684621730180382</v>
      </c>
      <c r="D131" s="44">
        <f ca="1">'Adj Data'!B124</f>
        <v>75.38047358460858</v>
      </c>
      <c r="E131" s="64">
        <f ca="1">RANK(Table1[[#This Row],[Kenpom]],Table1[Kenpom])</f>
        <v>124</v>
      </c>
      <c r="F131" s="44">
        <f ca="1">'Adj Data'!C124</f>
        <v>75.133391605932545</v>
      </c>
      <c r="G131" s="64">
        <f ca="1">RANK(Table1[[#This Row],[PVA]],Table1[PVA])</f>
        <v>115</v>
      </c>
      <c r="H131" s="44">
        <f ca="1">'Adj Data'!D124</f>
        <v>73.540000000000006</v>
      </c>
      <c r="I131" s="64">
        <f ca="1">RANK(Table1[[#This Row],[Sagarin]],Table1[Sagarin])</f>
        <v>137</v>
      </c>
      <c r="J131" s="44" t="str">
        <f ca="1">IFERROR(AVERAGE('Adj Data'!E124,'Adj Data'!F124),"")</f>
        <v/>
      </c>
      <c r="K131" s="64" t="str">
        <f ca="1">IFERROR(RANK(Table1[[#This Row],[Preseason]],Table1[Preseason]),"")</f>
        <v/>
      </c>
    </row>
    <row r="132" spans="1:11" x14ac:dyDescent="0.3">
      <c r="A132" s="64">
        <f ca="1">RANK(Table1[[#This Row],[Composite]],Table1[Composite])</f>
        <v>131</v>
      </c>
      <c r="B132" s="67" t="str">
        <f>'Adj Data'!A126</f>
        <v>Ohio</v>
      </c>
      <c r="C132" s="44">
        <f ca="1">'Adj Data'!G126</f>
        <v>74.560415838461878</v>
      </c>
      <c r="D132" s="44">
        <f ca="1">'Adj Data'!B126</f>
        <v>74.965583086244322</v>
      </c>
      <c r="E132" s="64">
        <f ca="1">RANK(Table1[[#This Row],[Kenpom]],Table1[Kenpom])</f>
        <v>129</v>
      </c>
      <c r="F132" s="44">
        <f ca="1">'Adj Data'!C126</f>
        <v>74.745664429141328</v>
      </c>
      <c r="G132" s="64">
        <f ca="1">RANK(Table1[[#This Row],[PVA]],Table1[PVA])</f>
        <v>122</v>
      </c>
      <c r="H132" s="44">
        <f ca="1">'Adj Data'!D126</f>
        <v>73.97</v>
      </c>
      <c r="I132" s="64">
        <f ca="1">RANK(Table1[[#This Row],[Sagarin]],Table1[Sagarin])</f>
        <v>132</v>
      </c>
      <c r="J132" s="44" t="str">
        <f ca="1">IFERROR(AVERAGE('Adj Data'!E126,'Adj Data'!F126),"")</f>
        <v/>
      </c>
      <c r="K132" s="64" t="str">
        <f ca="1">IFERROR(RANK(Table1[[#This Row],[Preseason]],Table1[Preseason]),"")</f>
        <v/>
      </c>
    </row>
    <row r="133" spans="1:11" x14ac:dyDescent="0.3">
      <c r="A133" s="64">
        <f ca="1">RANK(Table1[[#This Row],[Composite]],Table1[Composite])</f>
        <v>133</v>
      </c>
      <c r="B133" s="67" t="str">
        <f>'Adj Data'!A133</f>
        <v>Pepperdine</v>
      </c>
      <c r="C133" s="44">
        <f ca="1">'Adj Data'!G133</f>
        <v>74.402053284621715</v>
      </c>
      <c r="D133" s="44">
        <f ca="1">'Adj Data'!B133</f>
        <v>74.207464993778757</v>
      </c>
      <c r="E133" s="64">
        <f ca="1">RANK(Table1[[#This Row],[Kenpom]],Table1[Kenpom])</f>
        <v>137</v>
      </c>
      <c r="F133" s="44">
        <f ca="1">'Adj Data'!C133</f>
        <v>74.228694860086364</v>
      </c>
      <c r="G133" s="64">
        <f ca="1">RANK(Table1[[#This Row],[PVA]],Table1[PVA])</f>
        <v>131</v>
      </c>
      <c r="H133" s="44">
        <f ca="1">'Adj Data'!D133</f>
        <v>74.77</v>
      </c>
      <c r="I133" s="64">
        <f ca="1">RANK(Table1[[#This Row],[Sagarin]],Table1[Sagarin])</f>
        <v>124</v>
      </c>
      <c r="J133" s="44" t="str">
        <f ca="1">IFERROR(AVERAGE('Adj Data'!E133,'Adj Data'!F133),"")</f>
        <v/>
      </c>
      <c r="K133" s="64" t="str">
        <f ca="1">IFERROR(RANK(Table1[[#This Row],[Preseason]],Table1[Preseason]),"")</f>
        <v/>
      </c>
    </row>
    <row r="134" spans="1:11" x14ac:dyDescent="0.3">
      <c r="A134" s="64">
        <f ca="1">RANK(Table1[[#This Row],[Composite]],Table1[Composite])</f>
        <v>138</v>
      </c>
      <c r="B134" s="67" t="str">
        <f>'Adj Data'!A134</f>
        <v>IPFW</v>
      </c>
      <c r="C134" s="44">
        <f ca="1">'Adj Data'!G134</f>
        <v>74.093584039247432</v>
      </c>
      <c r="D134" s="44">
        <f ca="1">'Adj Data'!B134</f>
        <v>74.833572473128442</v>
      </c>
      <c r="E134" s="64">
        <f ca="1">RANK(Table1[[#This Row],[Kenpom]],Table1[Kenpom])</f>
        <v>133</v>
      </c>
      <c r="F134" s="44">
        <f ca="1">'Adj Data'!C134</f>
        <v>74.487179644613846</v>
      </c>
      <c r="G134" s="64">
        <f ca="1">RANK(Table1[[#This Row],[PVA]],Table1[PVA])</f>
        <v>126</v>
      </c>
      <c r="H134" s="44">
        <f ca="1">'Adj Data'!D134</f>
        <v>72.959999999999994</v>
      </c>
      <c r="I134" s="64">
        <f ca="1">RANK(Table1[[#This Row],[Sagarin]],Table1[Sagarin])</f>
        <v>143</v>
      </c>
      <c r="J134" s="44" t="str">
        <f ca="1">IFERROR(AVERAGE('Adj Data'!E134,'Adj Data'!F134),"")</f>
        <v/>
      </c>
      <c r="K134" s="64" t="str">
        <f ca="1">IFERROR(RANK(Table1[[#This Row],[Preseason]],Table1[Preseason]),"")</f>
        <v/>
      </c>
    </row>
    <row r="135" spans="1:11" x14ac:dyDescent="0.3">
      <c r="A135" s="64">
        <f ca="1">RANK(Table1[[#This Row],[Composite]],Table1[Composite])</f>
        <v>137</v>
      </c>
      <c r="B135" s="67" t="str">
        <f>'Adj Data'!A130</f>
        <v>Penn State</v>
      </c>
      <c r="C135" s="44">
        <f ca="1">'Adj Data'!G130</f>
        <v>74.09447140247849</v>
      </c>
      <c r="D135" s="44">
        <f ca="1">'Adj Data'!B130</f>
        <v>73.645476955085371</v>
      </c>
      <c r="E135" s="64">
        <f ca="1">RANK(Table1[[#This Row],[Kenpom]],Table1[Kenpom])</f>
        <v>145</v>
      </c>
      <c r="F135" s="44">
        <f ca="1">'Adj Data'!C130</f>
        <v>74.357937252350098</v>
      </c>
      <c r="G135" s="64">
        <f ca="1">RANK(Table1[[#This Row],[PVA]],Table1[PVA])</f>
        <v>127</v>
      </c>
      <c r="H135" s="44">
        <f ca="1">'Adj Data'!D130</f>
        <v>74.28</v>
      </c>
      <c r="I135" s="64">
        <f ca="1">RANK(Table1[[#This Row],[Sagarin]],Table1[Sagarin])</f>
        <v>129</v>
      </c>
      <c r="J135" s="44" t="str">
        <f ca="1">IFERROR(AVERAGE('Adj Data'!E130,'Adj Data'!F130),"")</f>
        <v/>
      </c>
      <c r="K135" s="64" t="str">
        <f ca="1">IFERROR(RANK(Table1[[#This Row],[Preseason]],Table1[Preseason]),"")</f>
        <v/>
      </c>
    </row>
    <row r="136" spans="1:11" x14ac:dyDescent="0.3">
      <c r="A136" s="64">
        <f ca="1">RANK(Table1[[#This Row],[Composite]],Table1[Composite])</f>
        <v>132</v>
      </c>
      <c r="B136" s="67" t="str">
        <f>'Adj Data'!A141</f>
        <v>Buffalo</v>
      </c>
      <c r="C136" s="44">
        <f ca="1">'Adj Data'!G141</f>
        <v>74.416760009609561</v>
      </c>
      <c r="D136" s="44">
        <f ca="1">'Adj Data'!B141</f>
        <v>75.014615599687374</v>
      </c>
      <c r="E136" s="64">
        <f ca="1">RANK(Table1[[#This Row],[Kenpom]],Table1[Kenpom])</f>
        <v>127</v>
      </c>
      <c r="F136" s="44">
        <f ca="1">'Adj Data'!C141</f>
        <v>74.745664429141328</v>
      </c>
      <c r="G136" s="64">
        <f ca="1">RANK(Table1[[#This Row],[PVA]],Table1[PVA])</f>
        <v>122</v>
      </c>
      <c r="H136" s="44">
        <f ca="1">'Adj Data'!D141</f>
        <v>73.489999999999995</v>
      </c>
      <c r="I136" s="64">
        <f ca="1">RANK(Table1[[#This Row],[Sagarin]],Table1[Sagarin])</f>
        <v>139</v>
      </c>
      <c r="J136" s="44" t="str">
        <f ca="1">IFERROR(AVERAGE('Adj Data'!E141,'Adj Data'!F141),"")</f>
        <v/>
      </c>
      <c r="K136" s="64" t="str">
        <f ca="1">IFERROR(RANK(Table1[[#This Row],[Preseason]],Table1[Preseason]),"")</f>
        <v/>
      </c>
    </row>
    <row r="137" spans="1:11" x14ac:dyDescent="0.3">
      <c r="A137" s="64">
        <f ca="1">RANK(Table1[[#This Row],[Composite]],Table1[Composite])</f>
        <v>135</v>
      </c>
      <c r="B137" s="67" t="str">
        <f>'Adj Data'!A140</f>
        <v>Northeastern</v>
      </c>
      <c r="C137" s="44">
        <f ca="1">'Adj Data'!G140</f>
        <v>74.228771575027551</v>
      </c>
      <c r="D137" s="44">
        <f ca="1">'Adj Data'!B140</f>
        <v>75.056104649523803</v>
      </c>
      <c r="E137" s="64">
        <f ca="1">RANK(Table1[[#This Row],[Kenpom]],Table1[Kenpom])</f>
        <v>126</v>
      </c>
      <c r="F137" s="44">
        <f ca="1">'Adj Data'!C140</f>
        <v>73.970210075558882</v>
      </c>
      <c r="G137" s="64">
        <f ca="1">RANK(Table1[[#This Row],[PVA]],Table1[PVA])</f>
        <v>134</v>
      </c>
      <c r="H137" s="44">
        <f ca="1">'Adj Data'!D140</f>
        <v>73.66</v>
      </c>
      <c r="I137" s="64">
        <f ca="1">RANK(Table1[[#This Row],[Sagarin]],Table1[Sagarin])</f>
        <v>135</v>
      </c>
      <c r="J137" s="44" t="str">
        <f ca="1">IFERROR(AVERAGE('Adj Data'!E140,'Adj Data'!F140),"")</f>
        <v/>
      </c>
      <c r="K137" s="64" t="str">
        <f ca="1">IFERROR(RANK(Table1[[#This Row],[Preseason]],Table1[Preseason]),"")</f>
        <v/>
      </c>
    </row>
    <row r="138" spans="1:11" x14ac:dyDescent="0.3">
      <c r="A138" s="64">
        <f ca="1">RANK(Table1[[#This Row],[Composite]],Table1[Composite])</f>
        <v>142</v>
      </c>
      <c r="B138" s="67" t="str">
        <f>'Adj Data'!A142</f>
        <v>TCU</v>
      </c>
      <c r="C138" s="44">
        <f ca="1">'Adj Data'!G142</f>
        <v>73.880899690737763</v>
      </c>
      <c r="D138" s="44">
        <f ca="1">'Adj Data'!B142</f>
        <v>73.600216173445631</v>
      </c>
      <c r="E138" s="64">
        <f ca="1">RANK(Table1[[#This Row],[Kenpom]],Table1[Kenpom])</f>
        <v>146</v>
      </c>
      <c r="F138" s="44">
        <f ca="1">'Adj Data'!C142</f>
        <v>73.582482898767665</v>
      </c>
      <c r="G138" s="64">
        <f ca="1">RANK(Table1[[#This Row],[PVA]],Table1[PVA])</f>
        <v>141</v>
      </c>
      <c r="H138" s="44">
        <f ca="1">'Adj Data'!D142</f>
        <v>74.459999999999994</v>
      </c>
      <c r="I138" s="64">
        <f ca="1">RANK(Table1[[#This Row],[Sagarin]],Table1[Sagarin])</f>
        <v>126</v>
      </c>
      <c r="J138" s="44" t="str">
        <f ca="1">IFERROR(AVERAGE('Adj Data'!E142,'Adj Data'!F142),"")</f>
        <v/>
      </c>
      <c r="K138" s="64" t="str">
        <f ca="1">IFERROR(RANK(Table1[[#This Row],[Preseason]],Table1[Preseason]),"")</f>
        <v/>
      </c>
    </row>
    <row r="139" spans="1:11" x14ac:dyDescent="0.3">
      <c r="A139" s="64">
        <f ca="1">RANK(Table1[[#This Row],[Composite]],Table1[Composite])</f>
        <v>134</v>
      </c>
      <c r="B139" s="67" t="str">
        <f>'Adj Data'!A121</f>
        <v>UL Monroe</v>
      </c>
      <c r="C139" s="44">
        <f ca="1">'Adj Data'!G121</f>
        <v>74.31203310434158</v>
      </c>
      <c r="D139" s="44">
        <f ca="1">'Adj Data'!B121</f>
        <v>76.274374021993353</v>
      </c>
      <c r="E139" s="64">
        <f ca="1">RANK(Table1[[#This Row],[Kenpom]],Table1[Kenpom])</f>
        <v>118</v>
      </c>
      <c r="F139" s="44">
        <f ca="1">'Adj Data'!C121</f>
        <v>73.711725291031399</v>
      </c>
      <c r="G139" s="64">
        <f ca="1">RANK(Table1[[#This Row],[PVA]],Table1[PVA])</f>
        <v>139</v>
      </c>
      <c r="H139" s="44">
        <f ca="1">'Adj Data'!D121</f>
        <v>72.95</v>
      </c>
      <c r="I139" s="64">
        <f ca="1">RANK(Table1[[#This Row],[Sagarin]],Table1[Sagarin])</f>
        <v>144</v>
      </c>
      <c r="J139" s="44" t="str">
        <f ca="1">IFERROR(AVERAGE('Adj Data'!E121,'Adj Data'!F121),"")</f>
        <v/>
      </c>
      <c r="K139" s="64" t="str">
        <f ca="1">IFERROR(RANK(Table1[[#This Row],[Preseason]],Table1[Preseason]),"")</f>
        <v/>
      </c>
    </row>
    <row r="140" spans="1:11" x14ac:dyDescent="0.3">
      <c r="A140" s="64">
        <f ca="1">RANK(Table1[[#This Row],[Composite]],Table1[Composite])</f>
        <v>140</v>
      </c>
      <c r="B140" s="67" t="str">
        <f>'Adj Data'!A135</f>
        <v>Weber State</v>
      </c>
      <c r="C140" s="44">
        <f ca="1">'Adj Data'!G135</f>
        <v>74.015978140841412</v>
      </c>
      <c r="D140" s="44">
        <f ca="1">'Adj Data'!B135</f>
        <v>74.429997170174119</v>
      </c>
      <c r="E140" s="64">
        <f ca="1">RANK(Table1[[#This Row],[Kenpom]],Table1[Kenpom])</f>
        <v>136</v>
      </c>
      <c r="F140" s="44">
        <f ca="1">'Adj Data'!C135</f>
        <v>74.357937252350098</v>
      </c>
      <c r="G140" s="64">
        <f ca="1">RANK(Table1[[#This Row],[PVA]],Table1[PVA])</f>
        <v>127</v>
      </c>
      <c r="H140" s="44">
        <f ca="1">'Adj Data'!D135</f>
        <v>73.260000000000005</v>
      </c>
      <c r="I140" s="64">
        <f ca="1">RANK(Table1[[#This Row],[Sagarin]],Table1[Sagarin])</f>
        <v>140</v>
      </c>
      <c r="J140" s="44" t="str">
        <f ca="1">IFERROR(AVERAGE('Adj Data'!E135,'Adj Data'!F135),"")</f>
        <v/>
      </c>
      <c r="K140" s="64" t="str">
        <f ca="1">IFERROR(RANK(Table1[[#This Row],[Preseason]],Table1[Preseason]),"")</f>
        <v/>
      </c>
    </row>
    <row r="141" spans="1:11" x14ac:dyDescent="0.3">
      <c r="A141" s="64">
        <f ca="1">RANK(Table1[[#This Row],[Composite]],Table1[Composite])</f>
        <v>141</v>
      </c>
      <c r="B141" s="67" t="str">
        <f>'Adj Data'!A164</f>
        <v>Utah State</v>
      </c>
      <c r="C141" s="44">
        <f ca="1">'Adj Data'!G164</f>
        <v>73.97049971080439</v>
      </c>
      <c r="D141" s="44">
        <f ca="1">'Adj Data'!B164</f>
        <v>74.128258625909211</v>
      </c>
      <c r="E141" s="64">
        <f ca="1">RANK(Table1[[#This Row],[Kenpom]],Table1[Kenpom])</f>
        <v>138</v>
      </c>
      <c r="F141" s="44">
        <f ca="1">'Adj Data'!C164</f>
        <v>73.453240506503931</v>
      </c>
      <c r="G141" s="64">
        <f ca="1">RANK(Table1[[#This Row],[PVA]],Table1[PVA])</f>
        <v>143</v>
      </c>
      <c r="H141" s="44">
        <f ca="1">'Adj Data'!D164</f>
        <v>74.33</v>
      </c>
      <c r="I141" s="64">
        <f ca="1">RANK(Table1[[#This Row],[Sagarin]],Table1[Sagarin])</f>
        <v>127</v>
      </c>
      <c r="J141" s="44" t="str">
        <f ca="1">IFERROR(AVERAGE('Adj Data'!E164,'Adj Data'!F164),"")</f>
        <v/>
      </c>
      <c r="K141" s="64" t="str">
        <f ca="1">IFERROR(RANK(Table1[[#This Row],[Preseason]],Table1[Preseason]),"")</f>
        <v/>
      </c>
    </row>
    <row r="142" spans="1:11" x14ac:dyDescent="0.3">
      <c r="A142" s="64">
        <f ca="1">RANK(Table1[[#This Row],[Composite]],Table1[Composite])</f>
        <v>139</v>
      </c>
      <c r="B142" s="67" t="str">
        <f>'Adj Data'!A147</f>
        <v>Southern Illinois</v>
      </c>
      <c r="C142" s="44">
        <f ca="1">'Adj Data'!G147</f>
        <v>74.02399697961431</v>
      </c>
      <c r="D142" s="44">
        <f ca="1">'Adj Data'!B147</f>
        <v>73.871780863284044</v>
      </c>
      <c r="E142" s="64">
        <f ca="1">RANK(Table1[[#This Row],[Kenpom]],Table1[Kenpom])</f>
        <v>141</v>
      </c>
      <c r="F142" s="44">
        <f ca="1">'Adj Data'!C147</f>
        <v>73.970210075558882</v>
      </c>
      <c r="G142" s="64">
        <f ca="1">RANK(Table1[[#This Row],[PVA]],Table1[PVA])</f>
        <v>134</v>
      </c>
      <c r="H142" s="44">
        <f ca="1">'Adj Data'!D147</f>
        <v>74.23</v>
      </c>
      <c r="I142" s="64">
        <f ca="1">RANK(Table1[[#This Row],[Sagarin]],Table1[Sagarin])</f>
        <v>130</v>
      </c>
      <c r="J142" s="44" t="str">
        <f ca="1">IFERROR(AVERAGE('Adj Data'!E147,'Adj Data'!F147),"")</f>
        <v/>
      </c>
      <c r="K142" s="64" t="str">
        <f ca="1">IFERROR(RANK(Table1[[#This Row],[Preseason]],Table1[Preseason]),"")</f>
        <v/>
      </c>
    </row>
    <row r="143" spans="1:11" x14ac:dyDescent="0.3">
      <c r="A143" s="64">
        <f ca="1">RANK(Table1[[#This Row],[Composite]],Table1[Composite])</f>
        <v>136</v>
      </c>
      <c r="B143" s="67" t="str">
        <f>'Adj Data'!A128</f>
        <v>Morehead State</v>
      </c>
      <c r="C143" s="44">
        <f ca="1">'Adj Data'!G128</f>
        <v>74.16231150092888</v>
      </c>
      <c r="D143" s="44">
        <f ca="1">'Adj Data'!B128</f>
        <v>74.946724427227778</v>
      </c>
      <c r="E143" s="64">
        <f ca="1">RANK(Table1[[#This Row],[Kenpom]],Table1[Kenpom])</f>
        <v>130</v>
      </c>
      <c r="F143" s="44">
        <f ca="1">'Adj Data'!C128</f>
        <v>73.970210075558882</v>
      </c>
      <c r="G143" s="64">
        <f ca="1">RANK(Table1[[#This Row],[PVA]],Table1[PVA])</f>
        <v>134</v>
      </c>
      <c r="H143" s="44">
        <f ca="1">'Adj Data'!D128</f>
        <v>73.569999999999993</v>
      </c>
      <c r="I143" s="64">
        <f ca="1">RANK(Table1[[#This Row],[Sagarin]],Table1[Sagarin])</f>
        <v>136</v>
      </c>
      <c r="J143" s="44" t="str">
        <f ca="1">IFERROR(AVERAGE('Adj Data'!E128,'Adj Data'!F128),"")</f>
        <v/>
      </c>
      <c r="K143" s="64" t="str">
        <f ca="1">IFERROR(RANK(Table1[[#This Row],[Preseason]],Table1[Preseason]),"")</f>
        <v/>
      </c>
    </row>
    <row r="144" spans="1:11" x14ac:dyDescent="0.3">
      <c r="A144" s="64">
        <f ca="1">RANK(Table1[[#This Row],[Composite]],Table1[Composite])</f>
        <v>143</v>
      </c>
      <c r="B144" s="67" t="str">
        <f>'Adj Data'!A132</f>
        <v>Nevada</v>
      </c>
      <c r="C144" s="44">
        <f ca="1">'Adj Data'!G132</f>
        <v>73.788550335416687</v>
      </c>
      <c r="D144" s="44">
        <f ca="1">'Adj Data'!B132</f>
        <v>73.724683322954917</v>
      </c>
      <c r="E144" s="64">
        <f ca="1">RANK(Table1[[#This Row],[Kenpom]],Table1[Kenpom])</f>
        <v>144</v>
      </c>
      <c r="F144" s="44">
        <f ca="1">'Adj Data'!C132</f>
        <v>73.840967683295148</v>
      </c>
      <c r="G144" s="64">
        <f ca="1">RANK(Table1[[#This Row],[PVA]],Table1[PVA])</f>
        <v>138</v>
      </c>
      <c r="H144" s="44">
        <f ca="1">'Adj Data'!D132</f>
        <v>73.8</v>
      </c>
      <c r="I144" s="64">
        <f ca="1">RANK(Table1[[#This Row],[Sagarin]],Table1[Sagarin])</f>
        <v>134</v>
      </c>
      <c r="J144" s="44" t="str">
        <f ca="1">IFERROR(AVERAGE('Adj Data'!E132,'Adj Data'!F132),"")</f>
        <v/>
      </c>
      <c r="K144" s="64" t="str">
        <f ca="1">IFERROR(RANK(Table1[[#This Row],[Preseason]],Table1[Preseason]),"")</f>
        <v/>
      </c>
    </row>
    <row r="145" spans="1:11" x14ac:dyDescent="0.3">
      <c r="A145" s="64">
        <f ca="1">RANK(Table1[[#This Row],[Composite]],Table1[Composite])</f>
        <v>148</v>
      </c>
      <c r="B145" s="67" t="str">
        <f>'Adj Data'!A145</f>
        <v>High Point</v>
      </c>
      <c r="C145" s="44">
        <f ca="1">'Adj Data'!G145</f>
        <v>73.019490214497253</v>
      </c>
      <c r="D145" s="44">
        <f ca="1">'Adj Data'!B145</f>
        <v>72.570533391141652</v>
      </c>
      <c r="E145" s="64">
        <f ca="1">RANK(Table1[[#This Row],[Kenpom]],Table1[Kenpom])</f>
        <v>156</v>
      </c>
      <c r="F145" s="44">
        <f ca="1">'Adj Data'!C145</f>
        <v>74.357937252350098</v>
      </c>
      <c r="G145" s="64">
        <f ca="1">RANK(Table1[[#This Row],[PVA]],Table1[PVA])</f>
        <v>127</v>
      </c>
      <c r="H145" s="44">
        <f ca="1">'Adj Data'!D145</f>
        <v>72.13</v>
      </c>
      <c r="I145" s="64">
        <f ca="1">RANK(Table1[[#This Row],[Sagarin]],Table1[Sagarin])</f>
        <v>154</v>
      </c>
      <c r="J145" s="44" t="str">
        <f ca="1">IFERROR(AVERAGE('Adj Data'!E145,'Adj Data'!F145),"")</f>
        <v/>
      </c>
      <c r="K145" s="64" t="str">
        <f ca="1">IFERROR(RANK(Table1[[#This Row],[Preseason]],Table1[Preseason]),"")</f>
        <v/>
      </c>
    </row>
    <row r="146" spans="1:11" x14ac:dyDescent="0.3">
      <c r="A146" s="64">
        <f ca="1">RANK(Table1[[#This Row],[Composite]],Table1[Composite])</f>
        <v>144</v>
      </c>
      <c r="B146" s="67" t="str">
        <f>'Adj Data'!A151</f>
        <v>Wright State</v>
      </c>
      <c r="C146" s="44">
        <f ca="1">'Adj Data'!G151</f>
        <v>73.223284178342738</v>
      </c>
      <c r="D146" s="44">
        <f ca="1">'Adj Data'!B151</f>
        <v>74.052823989842992</v>
      </c>
      <c r="E146" s="64">
        <f ca="1">RANK(Table1[[#This Row],[Kenpom]],Table1[Kenpom])</f>
        <v>139</v>
      </c>
      <c r="F146" s="44">
        <f ca="1">'Adj Data'!C151</f>
        <v>72.807028545185233</v>
      </c>
      <c r="G146" s="64">
        <f ca="1">RANK(Table1[[#This Row],[PVA]],Table1[PVA])</f>
        <v>152</v>
      </c>
      <c r="H146" s="44">
        <f ca="1">'Adj Data'!D151</f>
        <v>72.81</v>
      </c>
      <c r="I146" s="64">
        <f ca="1">RANK(Table1[[#This Row],[Sagarin]],Table1[Sagarin])</f>
        <v>147</v>
      </c>
      <c r="J146" s="44" t="str">
        <f ca="1">IFERROR(AVERAGE('Adj Data'!E151,'Adj Data'!F151),"")</f>
        <v/>
      </c>
      <c r="K146" s="64" t="str">
        <f ca="1">IFERROR(RANK(Table1[[#This Row],[Preseason]],Table1[Preseason]),"")</f>
        <v/>
      </c>
    </row>
    <row r="147" spans="1:11" x14ac:dyDescent="0.3">
      <c r="A147" s="64">
        <f ca="1">RANK(Table1[[#This Row],[Composite]],Table1[Composite])</f>
        <v>145</v>
      </c>
      <c r="B147" s="67" t="str">
        <f>'Adj Data'!A174</f>
        <v>Colorado State</v>
      </c>
      <c r="C147" s="44">
        <f ca="1">'Adj Data'!G174</f>
        <v>73.189678226428441</v>
      </c>
      <c r="D147" s="44">
        <f ca="1">'Adj Data'!B174</f>
        <v>72.615794172781392</v>
      </c>
      <c r="E147" s="64">
        <f ca="1">RANK(Table1[[#This Row],[Kenpom]],Table1[Kenpom])</f>
        <v>155</v>
      </c>
      <c r="F147" s="44">
        <f ca="1">'Adj Data'!C174</f>
        <v>73.453240506503931</v>
      </c>
      <c r="G147" s="64">
        <f ca="1">RANK(Table1[[#This Row],[PVA]],Table1[PVA])</f>
        <v>143</v>
      </c>
      <c r="H147" s="44">
        <f ca="1">'Adj Data'!D174</f>
        <v>73.5</v>
      </c>
      <c r="I147" s="64">
        <f ca="1">RANK(Table1[[#This Row],[Sagarin]],Table1[Sagarin])</f>
        <v>138</v>
      </c>
      <c r="J147" s="44" t="str">
        <f ca="1">IFERROR(AVERAGE('Adj Data'!E174,'Adj Data'!F174),"")</f>
        <v/>
      </c>
      <c r="K147" s="64" t="str">
        <f ca="1">IFERROR(RANK(Table1[[#This Row],[Preseason]],Table1[Preseason]),"")</f>
        <v/>
      </c>
    </row>
    <row r="148" spans="1:11" x14ac:dyDescent="0.3">
      <c r="A148" s="64">
        <f ca="1">RANK(Table1[[#This Row],[Composite]],Table1[Composite])</f>
        <v>149</v>
      </c>
      <c r="B148" s="67" t="str">
        <f>'Adj Data'!A139</f>
        <v>Omaha</v>
      </c>
      <c r="C148" s="44">
        <f ca="1">'Adj Data'!G139</f>
        <v>72.986417246844383</v>
      </c>
      <c r="D148" s="44">
        <f ca="1">'Adj Data'!B139</f>
        <v>73.343738410820464</v>
      </c>
      <c r="E148" s="64">
        <f ca="1">RANK(Table1[[#This Row],[Kenpom]],Table1[Kenpom])</f>
        <v>150</v>
      </c>
      <c r="F148" s="44">
        <f ca="1">'Adj Data'!C139</f>
        <v>73.065513329712701</v>
      </c>
      <c r="G148" s="64">
        <f ca="1">RANK(Table1[[#This Row],[PVA]],Table1[PVA])</f>
        <v>148</v>
      </c>
      <c r="H148" s="44">
        <f ca="1">'Adj Data'!D139</f>
        <v>72.55</v>
      </c>
      <c r="I148" s="64">
        <f ca="1">RANK(Table1[[#This Row],[Sagarin]],Table1[Sagarin])</f>
        <v>149</v>
      </c>
      <c r="J148" s="44" t="str">
        <f ca="1">IFERROR(AVERAGE('Adj Data'!E139,'Adj Data'!F139),"")</f>
        <v/>
      </c>
      <c r="K148" s="64" t="str">
        <f ca="1">IFERROR(RANK(Table1[[#This Row],[Preseason]],Table1[Preseason]),"")</f>
        <v/>
      </c>
    </row>
    <row r="149" spans="1:11" x14ac:dyDescent="0.3">
      <c r="A149" s="64">
        <f ca="1">RANK(Table1[[#This Row],[Composite]],Table1[Composite])</f>
        <v>147</v>
      </c>
      <c r="B149" s="67" t="str">
        <f>'Adj Data'!A160</f>
        <v>Eastern Michigan</v>
      </c>
      <c r="C149" s="44">
        <f ca="1">'Adj Data'!G160</f>
        <v>73.068578590234281</v>
      </c>
      <c r="D149" s="44">
        <f ca="1">'Adj Data'!B160</f>
        <v>73.174010479671466</v>
      </c>
      <c r="E149" s="64">
        <f ca="1">RANK(Table1[[#This Row],[Kenpom]],Table1[Kenpom])</f>
        <v>152</v>
      </c>
      <c r="F149" s="44">
        <f ca="1">'Adj Data'!C160</f>
        <v>73.711725291031399</v>
      </c>
      <c r="G149" s="64">
        <f ca="1">RANK(Table1[[#This Row],[PVA]],Table1[PVA])</f>
        <v>139</v>
      </c>
      <c r="H149" s="44">
        <f ca="1">'Adj Data'!D160</f>
        <v>72.319999999999993</v>
      </c>
      <c r="I149" s="64">
        <f ca="1">RANK(Table1[[#This Row],[Sagarin]],Table1[Sagarin])</f>
        <v>153</v>
      </c>
      <c r="J149" s="44" t="str">
        <f ca="1">IFERROR(AVERAGE('Adj Data'!E160,'Adj Data'!F160),"")</f>
        <v/>
      </c>
      <c r="K149" s="64" t="str">
        <f ca="1">IFERROR(RANK(Table1[[#This Row],[Preseason]],Table1[Preseason]),"")</f>
        <v/>
      </c>
    </row>
    <row r="150" spans="1:11" x14ac:dyDescent="0.3">
      <c r="A150" s="64">
        <f ca="1">RANK(Table1[[#This Row],[Composite]],Table1[Composite])</f>
        <v>151</v>
      </c>
      <c r="B150" s="67" t="str">
        <f>'Adj Data'!A136</f>
        <v>Towson</v>
      </c>
      <c r="C150" s="44">
        <f ca="1">'Adj Data'!G136</f>
        <v>72.926327754298583</v>
      </c>
      <c r="D150" s="44">
        <f ca="1">'Adj Data'!B136</f>
        <v>73.901954717710538</v>
      </c>
      <c r="E150" s="64">
        <f ca="1">RANK(Table1[[#This Row],[Kenpom]],Table1[Kenpom])</f>
        <v>140</v>
      </c>
      <c r="F150" s="44">
        <f ca="1">'Adj Data'!C136</f>
        <v>72.807028545185233</v>
      </c>
      <c r="G150" s="64">
        <f ca="1">RANK(Table1[[#This Row],[PVA]],Table1[PVA])</f>
        <v>152</v>
      </c>
      <c r="H150" s="44">
        <f ca="1">'Adj Data'!D136</f>
        <v>72.069999999999993</v>
      </c>
      <c r="I150" s="64">
        <f ca="1">RANK(Table1[[#This Row],[Sagarin]],Table1[Sagarin])</f>
        <v>156</v>
      </c>
      <c r="J150" s="44" t="str">
        <f ca="1">IFERROR(AVERAGE('Adj Data'!E136,'Adj Data'!F136),"")</f>
        <v/>
      </c>
      <c r="K150" s="64" t="str">
        <f ca="1">IFERROR(RANK(Table1[[#This Row],[Preseason]],Table1[Preseason]),"")</f>
        <v/>
      </c>
    </row>
    <row r="151" spans="1:11" x14ac:dyDescent="0.3">
      <c r="A151" s="64">
        <f ca="1">RANK(Table1[[#This Row],[Composite]],Table1[Composite])</f>
        <v>146</v>
      </c>
      <c r="B151" s="67" t="str">
        <f>'Adj Data'!A127</f>
        <v>Marshall</v>
      </c>
      <c r="C151" s="44">
        <f ca="1">'Adj Data'!G127</f>
        <v>73.169809728724417</v>
      </c>
      <c r="D151" s="44">
        <f ca="1">'Adj Data'!B127</f>
        <v>73.76240064098802</v>
      </c>
      <c r="E151" s="64">
        <f ca="1">RANK(Table1[[#This Row],[Kenpom]],Table1[Kenpom])</f>
        <v>143</v>
      </c>
      <c r="F151" s="44">
        <f ca="1">'Adj Data'!C127</f>
        <v>72.807028545185233</v>
      </c>
      <c r="G151" s="64">
        <f ca="1">RANK(Table1[[#This Row],[PVA]],Table1[PVA])</f>
        <v>152</v>
      </c>
      <c r="H151" s="44">
        <f ca="1">'Adj Data'!D127</f>
        <v>72.94</v>
      </c>
      <c r="I151" s="64">
        <f ca="1">RANK(Table1[[#This Row],[Sagarin]],Table1[Sagarin])</f>
        <v>145</v>
      </c>
      <c r="J151" s="44" t="str">
        <f ca="1">IFERROR(AVERAGE('Adj Data'!E127,'Adj Data'!F127),"")</f>
        <v/>
      </c>
      <c r="K151" s="64" t="str">
        <f ca="1">IFERROR(RANK(Table1[[#This Row],[Preseason]],Table1[Preseason]),"")</f>
        <v/>
      </c>
    </row>
    <row r="152" spans="1:11" x14ac:dyDescent="0.3">
      <c r="A152" s="64">
        <f ca="1">RANK(Table1[[#This Row],[Composite]],Table1[Composite])</f>
        <v>152</v>
      </c>
      <c r="B152" s="67" t="str">
        <f>'Adj Data'!A149</f>
        <v>Montana</v>
      </c>
      <c r="C152" s="44">
        <f ca="1">'Adj Data'!G149</f>
        <v>72.827705139738825</v>
      </c>
      <c r="D152" s="44">
        <f ca="1">'Adj Data'!B149</f>
        <v>73.573814050822463</v>
      </c>
      <c r="E152" s="64">
        <f ca="1">RANK(Table1[[#This Row],[Kenpom]],Table1[Kenpom])</f>
        <v>148</v>
      </c>
      <c r="F152" s="44">
        <f ca="1">'Adj Data'!C149</f>
        <v>72.419301368394002</v>
      </c>
      <c r="G152" s="64">
        <f ca="1">RANK(Table1[[#This Row],[PVA]],Table1[PVA])</f>
        <v>157</v>
      </c>
      <c r="H152" s="44">
        <f ca="1">'Adj Data'!D149</f>
        <v>72.489999999999995</v>
      </c>
      <c r="I152" s="64">
        <f ca="1">RANK(Table1[[#This Row],[Sagarin]],Table1[Sagarin])</f>
        <v>151</v>
      </c>
      <c r="J152" s="44" t="str">
        <f ca="1">IFERROR(AVERAGE('Adj Data'!E149,'Adj Data'!F149),"")</f>
        <v/>
      </c>
      <c r="K152" s="64" t="str">
        <f ca="1">IFERROR(RANK(Table1[[#This Row],[Preseason]],Table1[Preseason]),"")</f>
        <v/>
      </c>
    </row>
    <row r="153" spans="1:11" x14ac:dyDescent="0.3">
      <c r="A153" s="64">
        <f ca="1">RANK(Table1[[#This Row],[Composite]],Table1[Composite])</f>
        <v>153</v>
      </c>
      <c r="B153" s="67" t="str">
        <f>'Adj Data'!A153</f>
        <v>North Dakota St</v>
      </c>
      <c r="C153" s="44">
        <f ca="1">'Adj Data'!G153</f>
        <v>72.766850269880152</v>
      </c>
      <c r="D153" s="44">
        <f ca="1">'Adj Data'!B153</f>
        <v>73.818976618037695</v>
      </c>
      <c r="E153" s="64">
        <f ca="1">RANK(Table1[[#This Row],[Kenpom]],Table1[Kenpom])</f>
        <v>142</v>
      </c>
      <c r="F153" s="44">
        <f ca="1">'Adj Data'!C153</f>
        <v>72.031574191602786</v>
      </c>
      <c r="G153" s="64">
        <f ca="1">RANK(Table1[[#This Row],[PVA]],Table1[PVA])</f>
        <v>162</v>
      </c>
      <c r="H153" s="44">
        <f ca="1">'Adj Data'!D153</f>
        <v>72.45</v>
      </c>
      <c r="I153" s="64">
        <f ca="1">RANK(Table1[[#This Row],[Sagarin]],Table1[Sagarin])</f>
        <v>152</v>
      </c>
      <c r="J153" s="44" t="str">
        <f ca="1">IFERROR(AVERAGE('Adj Data'!E153,'Adj Data'!F153),"")</f>
        <v/>
      </c>
      <c r="K153" s="64" t="str">
        <f ca="1">IFERROR(RANK(Table1[[#This Row],[Preseason]],Table1[Preseason]),"")</f>
        <v/>
      </c>
    </row>
    <row r="154" spans="1:11" x14ac:dyDescent="0.3">
      <c r="A154" s="64">
        <f ca="1">RANK(Table1[[#This Row],[Composite]],Table1[Composite])</f>
        <v>160</v>
      </c>
      <c r="B154" s="67" t="str">
        <f>'Adj Data'!A177</f>
        <v>Fordham</v>
      </c>
      <c r="C154" s="44">
        <f ca="1">'Adj Data'!G177</f>
        <v>72.213893242597749</v>
      </c>
      <c r="D154" s="44">
        <f ca="1">'Adj Data'!B177</f>
        <v>70.688439221289315</v>
      </c>
      <c r="E154" s="64">
        <f ca="1">RANK(Table1[[#This Row],[Kenpom]],Table1[Kenpom])</f>
        <v>178</v>
      </c>
      <c r="F154" s="44">
        <f ca="1">'Adj Data'!C177</f>
        <v>73.453240506503931</v>
      </c>
      <c r="G154" s="64">
        <f ca="1">RANK(Table1[[#This Row],[PVA]],Table1[PVA])</f>
        <v>143</v>
      </c>
      <c r="H154" s="44">
        <f ca="1">'Adj Data'!D177</f>
        <v>72.5</v>
      </c>
      <c r="I154" s="64">
        <f ca="1">RANK(Table1[[#This Row],[Sagarin]],Table1[Sagarin])</f>
        <v>150</v>
      </c>
      <c r="J154" s="44" t="str">
        <f ca="1">IFERROR(AVERAGE('Adj Data'!E177,'Adj Data'!F177),"")</f>
        <v/>
      </c>
      <c r="K154" s="64" t="str">
        <f ca="1">IFERROR(RANK(Table1[[#This Row],[Preseason]],Table1[Preseason]),"")</f>
        <v/>
      </c>
    </row>
    <row r="155" spans="1:11" x14ac:dyDescent="0.3">
      <c r="A155" s="64">
        <f ca="1">RANK(Table1[[#This Row],[Composite]],Table1[Composite])</f>
        <v>150</v>
      </c>
      <c r="B155" s="67" t="str">
        <f>'Adj Data'!A155</f>
        <v>LA Tech</v>
      </c>
      <c r="C155" s="44">
        <f ca="1">'Adj Data'!G155</f>
        <v>72.934821015935668</v>
      </c>
      <c r="D155" s="44">
        <f ca="1">'Adj Data'!B155</f>
        <v>73.117434502621791</v>
      </c>
      <c r="E155" s="64">
        <f ca="1">RANK(Table1[[#This Row],[Kenpom]],Table1[Kenpom])</f>
        <v>154</v>
      </c>
      <c r="F155" s="44">
        <f ca="1">'Adj Data'!C155</f>
        <v>72.807028545185233</v>
      </c>
      <c r="G155" s="64">
        <f ca="1">RANK(Table1[[#This Row],[PVA]],Table1[PVA])</f>
        <v>152</v>
      </c>
      <c r="H155" s="44">
        <f ca="1">'Adj Data'!D155</f>
        <v>72.88</v>
      </c>
      <c r="I155" s="64">
        <f ca="1">RANK(Table1[[#This Row],[Sagarin]],Table1[Sagarin])</f>
        <v>146</v>
      </c>
      <c r="J155" s="44" t="str">
        <f ca="1">IFERROR(AVERAGE('Adj Data'!E155,'Adj Data'!F155),"")</f>
        <v/>
      </c>
      <c r="K155" s="64" t="str">
        <f ca="1">IFERROR(RANK(Table1[[#This Row],[Preseason]],Table1[Preseason]),"")</f>
        <v/>
      </c>
    </row>
    <row r="156" spans="1:11" x14ac:dyDescent="0.3">
      <c r="A156" s="64">
        <f ca="1">RANK(Table1[[#This Row],[Composite]],Table1[Composite])</f>
        <v>154</v>
      </c>
      <c r="B156" s="67" t="str">
        <f>'Adj Data'!A157</f>
        <v>East Tennessee St</v>
      </c>
      <c r="C156" s="44">
        <f ca="1">'Adj Data'!G157</f>
        <v>72.597824328942522</v>
      </c>
      <c r="D156" s="44">
        <f ca="1">'Adj Data'!B157</f>
        <v>73.596444441642319</v>
      </c>
      <c r="E156" s="64">
        <f ca="1">RANK(Table1[[#This Row],[Kenpom]],Table1[Kenpom])</f>
        <v>147</v>
      </c>
      <c r="F156" s="44">
        <f ca="1">'Adj Data'!C157</f>
        <v>72.807028545185233</v>
      </c>
      <c r="G156" s="64">
        <f ca="1">RANK(Table1[[#This Row],[PVA]],Table1[PVA])</f>
        <v>152</v>
      </c>
      <c r="H156" s="44">
        <f ca="1">'Adj Data'!D157</f>
        <v>71.39</v>
      </c>
      <c r="I156" s="64">
        <f ca="1">RANK(Table1[[#This Row],[Sagarin]],Table1[Sagarin])</f>
        <v>167</v>
      </c>
      <c r="J156" s="44" t="str">
        <f ca="1">IFERROR(AVERAGE('Adj Data'!E157,'Adj Data'!F157),"")</f>
        <v/>
      </c>
      <c r="K156" s="64" t="str">
        <f ca="1">IFERROR(RANK(Table1[[#This Row],[Preseason]],Table1[Preseason]),"")</f>
        <v/>
      </c>
    </row>
    <row r="157" spans="1:11" x14ac:dyDescent="0.3">
      <c r="A157" s="64">
        <f ca="1">RANK(Table1[[#This Row],[Composite]],Table1[Composite])</f>
        <v>156</v>
      </c>
      <c r="B157" s="67" t="str">
        <f>'Adj Data'!A148</f>
        <v>Winthrop</v>
      </c>
      <c r="C157" s="44">
        <f ca="1">'Adj Data'!G148</f>
        <v>72.434245984504614</v>
      </c>
      <c r="D157" s="44">
        <f ca="1">'Adj Data'!B148</f>
        <v>73.166467016064843</v>
      </c>
      <c r="E157" s="64">
        <f ca="1">RANK(Table1[[#This Row],[Kenpom]],Table1[Kenpom])</f>
        <v>153</v>
      </c>
      <c r="F157" s="44">
        <f ca="1">'Adj Data'!C148</f>
        <v>72.936270937448967</v>
      </c>
      <c r="G157" s="64">
        <f ca="1">RANK(Table1[[#This Row],[PVA]],Table1[PVA])</f>
        <v>149</v>
      </c>
      <c r="H157" s="44">
        <f ca="1">'Adj Data'!D148</f>
        <v>71.2</v>
      </c>
      <c r="I157" s="64">
        <f ca="1">RANK(Table1[[#This Row],[Sagarin]],Table1[Sagarin])</f>
        <v>170</v>
      </c>
      <c r="J157" s="44" t="str">
        <f ca="1">IFERROR(AVERAGE('Adj Data'!E148,'Adj Data'!F148),"")</f>
        <v/>
      </c>
      <c r="K157" s="64" t="str">
        <f ca="1">IFERROR(RANK(Table1[[#This Row],[Preseason]],Table1[Preseason]),"")</f>
        <v/>
      </c>
    </row>
    <row r="158" spans="1:11" x14ac:dyDescent="0.3">
      <c r="A158" s="64">
        <f ca="1">RANK(Table1[[#This Row],[Composite]],Table1[Composite])</f>
        <v>158</v>
      </c>
      <c r="B158" s="67" t="str">
        <f>'Adj Data'!A159</f>
        <v>Duquesne</v>
      </c>
      <c r="C158" s="44">
        <f ca="1">'Adj Data'!G159</f>
        <v>72.315946512805041</v>
      </c>
      <c r="D158" s="44">
        <f ca="1">'Adj Data'!B159</f>
        <v>71.231568600966142</v>
      </c>
      <c r="E158" s="64">
        <f ca="1">RANK(Table1[[#This Row],[Kenpom]],Table1[Kenpom])</f>
        <v>169</v>
      </c>
      <c r="F158" s="44">
        <f ca="1">'Adj Data'!C159</f>
        <v>72.936270937448967</v>
      </c>
      <c r="G158" s="64">
        <f ca="1">RANK(Table1[[#This Row],[PVA]],Table1[PVA])</f>
        <v>149</v>
      </c>
      <c r="H158" s="44">
        <f ca="1">'Adj Data'!D159</f>
        <v>72.78</v>
      </c>
      <c r="I158" s="64">
        <f ca="1">RANK(Table1[[#This Row],[Sagarin]],Table1[Sagarin])</f>
        <v>148</v>
      </c>
      <c r="J158" s="44" t="str">
        <f ca="1">IFERROR(AVERAGE('Adj Data'!E159,'Adj Data'!F159),"")</f>
        <v/>
      </c>
      <c r="K158" s="64" t="str">
        <f ca="1">IFERROR(RANK(Table1[[#This Row],[Preseason]],Table1[Preseason]),"")</f>
        <v/>
      </c>
    </row>
    <row r="159" spans="1:11" x14ac:dyDescent="0.3">
      <c r="A159" s="64">
        <f ca="1">RANK(Table1[[#This Row],[Composite]],Table1[Composite])</f>
        <v>157</v>
      </c>
      <c r="B159" s="67" t="str">
        <f>'Adj Data'!A150</f>
        <v>Vermont</v>
      </c>
      <c r="C159" s="44">
        <f ca="1">'Adj Data'!G150</f>
        <v>72.359472891123445</v>
      </c>
      <c r="D159" s="44">
        <f ca="1">'Adj Data'!B150</f>
        <v>73.573814050822463</v>
      </c>
      <c r="E159" s="64">
        <f ca="1">RANK(Table1[[#This Row],[Kenpom]],Table1[Kenpom])</f>
        <v>148</v>
      </c>
      <c r="F159" s="44">
        <f ca="1">'Adj Data'!C150</f>
        <v>71.514604622547836</v>
      </c>
      <c r="G159" s="64">
        <f ca="1">RANK(Table1[[#This Row],[PVA]],Table1[PVA])</f>
        <v>166</v>
      </c>
      <c r="H159" s="44">
        <f ca="1">'Adj Data'!D150</f>
        <v>71.989999999999995</v>
      </c>
      <c r="I159" s="64">
        <f ca="1">RANK(Table1[[#This Row],[Sagarin]],Table1[Sagarin])</f>
        <v>158</v>
      </c>
      <c r="J159" s="44" t="str">
        <f ca="1">IFERROR(AVERAGE('Adj Data'!E150,'Adj Data'!F150),"")</f>
        <v/>
      </c>
      <c r="K159" s="64" t="str">
        <f ca="1">IFERROR(RANK(Table1[[#This Row],[Preseason]],Table1[Preseason]),"")</f>
        <v/>
      </c>
    </row>
    <row r="160" spans="1:11" x14ac:dyDescent="0.3">
      <c r="A160" s="64">
        <f ca="1">RANK(Table1[[#This Row],[Composite]],Table1[Composite])</f>
        <v>159</v>
      </c>
      <c r="B160" s="67" t="str">
        <f>'Adj Data'!A176</f>
        <v>Missouri</v>
      </c>
      <c r="C160" s="44">
        <f ca="1">'Adj Data'!G176</f>
        <v>72.296772883076997</v>
      </c>
      <c r="D160" s="44">
        <f ca="1">'Adj Data'!B176</f>
        <v>70.794047711782028</v>
      </c>
      <c r="E160" s="64">
        <f ca="1">RANK(Table1[[#This Row],[Kenpom]],Table1[Kenpom])</f>
        <v>175</v>
      </c>
      <c r="F160" s="44">
        <f ca="1">'Adj Data'!C176</f>
        <v>72.936270937448967</v>
      </c>
      <c r="G160" s="64">
        <f ca="1">RANK(Table1[[#This Row],[PVA]],Table1[PVA])</f>
        <v>149</v>
      </c>
      <c r="H160" s="44">
        <f ca="1">'Adj Data'!D176</f>
        <v>73.16</v>
      </c>
      <c r="I160" s="64">
        <f ca="1">RANK(Table1[[#This Row],[Sagarin]],Table1[Sagarin])</f>
        <v>141</v>
      </c>
      <c r="J160" s="44" t="str">
        <f ca="1">IFERROR(AVERAGE('Adj Data'!E176,'Adj Data'!F176),"")</f>
        <v/>
      </c>
      <c r="K160" s="64" t="str">
        <f ca="1">IFERROR(RANK(Table1[[#This Row],[Preseason]],Table1[Preseason]),"")</f>
        <v/>
      </c>
    </row>
    <row r="161" spans="1:11" x14ac:dyDescent="0.3">
      <c r="A161" s="64">
        <f ca="1">RANK(Table1[[#This Row],[Composite]],Table1[Composite])</f>
        <v>155</v>
      </c>
      <c r="B161" s="67" t="str">
        <f>'Adj Data'!A131</f>
        <v>Ball State</v>
      </c>
      <c r="C161" s="44">
        <f ca="1">'Adj Data'!G131</f>
        <v>72.513052127671656</v>
      </c>
      <c r="D161" s="44">
        <f ca="1">'Adj Data'!B131</f>
        <v>73.189097406884713</v>
      </c>
      <c r="E161" s="64">
        <f ca="1">RANK(Table1[[#This Row],[Kenpom]],Table1[Kenpom])</f>
        <v>151</v>
      </c>
      <c r="F161" s="44">
        <f ca="1">'Adj Data'!C131</f>
        <v>72.290058976130268</v>
      </c>
      <c r="G161" s="64">
        <f ca="1">RANK(Table1[[#This Row],[PVA]],Table1[PVA])</f>
        <v>159</v>
      </c>
      <c r="H161" s="44">
        <f ca="1">'Adj Data'!D131</f>
        <v>72.06</v>
      </c>
      <c r="I161" s="64">
        <f ca="1">RANK(Table1[[#This Row],[Sagarin]],Table1[Sagarin])</f>
        <v>157</v>
      </c>
      <c r="J161" s="44" t="str">
        <f ca="1">IFERROR(AVERAGE('Adj Data'!E131,'Adj Data'!F131),"")</f>
        <v/>
      </c>
      <c r="K161" s="64" t="str">
        <f ca="1">IFERROR(RANK(Table1[[#This Row],[Preseason]],Table1[Preseason]),"")</f>
        <v/>
      </c>
    </row>
    <row r="162" spans="1:11" x14ac:dyDescent="0.3">
      <c r="A162" s="64">
        <f ca="1">RANK(Table1[[#This Row],[Composite]],Table1[Composite])</f>
        <v>161</v>
      </c>
      <c r="B162" s="67" t="str">
        <f>'Adj Data'!A162</f>
        <v>Northern Illinois</v>
      </c>
      <c r="C162" s="44">
        <f ca="1">'Adj Data'!G162</f>
        <v>72.18046289191112</v>
      </c>
      <c r="D162" s="44">
        <f ca="1">'Adj Data'!B162</f>
        <v>71.676632953756865</v>
      </c>
      <c r="E162" s="64">
        <f ca="1">RANK(Table1[[#This Row],[Kenpom]],Table1[Kenpom])</f>
        <v>166</v>
      </c>
      <c r="F162" s="44">
        <f ca="1">'Adj Data'!C162</f>
        <v>73.194755721976449</v>
      </c>
      <c r="G162" s="64">
        <f ca="1">RANK(Table1[[#This Row],[PVA]],Table1[PVA])</f>
        <v>147</v>
      </c>
      <c r="H162" s="44">
        <f ca="1">'Adj Data'!D162</f>
        <v>71.67</v>
      </c>
      <c r="I162" s="64">
        <f ca="1">RANK(Table1[[#This Row],[Sagarin]],Table1[Sagarin])</f>
        <v>162</v>
      </c>
      <c r="J162" s="44" t="str">
        <f ca="1">IFERROR(AVERAGE('Adj Data'!E162,'Adj Data'!F162),"")</f>
        <v/>
      </c>
      <c r="K162" s="64" t="str">
        <f ca="1">IFERROR(RANK(Table1[[#This Row],[Preseason]],Table1[Preseason]),"")</f>
        <v/>
      </c>
    </row>
    <row r="163" spans="1:11" x14ac:dyDescent="0.3">
      <c r="A163" s="64">
        <f ca="1">RANK(Table1[[#This Row],[Composite]],Table1[Composite])</f>
        <v>162</v>
      </c>
      <c r="B163" s="67" t="str">
        <f>'Adj Data'!A154</f>
        <v>Elon</v>
      </c>
      <c r="C163" s="44">
        <f ca="1">'Adj Data'!G154</f>
        <v>71.789350110706152</v>
      </c>
      <c r="D163" s="44">
        <f ca="1">'Adj Data'!B154</f>
        <v>72.385718532779393</v>
      </c>
      <c r="E163" s="64">
        <f ca="1">RANK(Table1[[#This Row],[Kenpom]],Table1[Kenpom])</f>
        <v>158</v>
      </c>
      <c r="F163" s="44">
        <f ca="1">'Adj Data'!C154</f>
        <v>71.902331799339052</v>
      </c>
      <c r="G163" s="64">
        <f ca="1">RANK(Table1[[#This Row],[PVA]],Table1[PVA])</f>
        <v>163</v>
      </c>
      <c r="H163" s="44">
        <f ca="1">'Adj Data'!D154</f>
        <v>71.08</v>
      </c>
      <c r="I163" s="64">
        <f ca="1">RANK(Table1[[#This Row],[Sagarin]],Table1[Sagarin])</f>
        <v>172</v>
      </c>
      <c r="J163" s="44" t="str">
        <f ca="1">IFERROR(AVERAGE('Adj Data'!E154,'Adj Data'!F154),"")</f>
        <v/>
      </c>
      <c r="K163" s="64" t="str">
        <f ca="1">IFERROR(RANK(Table1[[#This Row],[Preseason]],Table1[Preseason]),"")</f>
        <v/>
      </c>
    </row>
    <row r="164" spans="1:11" x14ac:dyDescent="0.3">
      <c r="A164" s="64">
        <f ca="1">RANK(Table1[[#This Row],[Composite]],Table1[Composite])</f>
        <v>165</v>
      </c>
      <c r="B164" s="67" t="str">
        <f>'Adj Data'!A156</f>
        <v>TAMU Corpus Christi</v>
      </c>
      <c r="C164" s="44">
        <f ca="1">'Adj Data'!G156</f>
        <v>71.524908174530879</v>
      </c>
      <c r="D164" s="44">
        <f ca="1">'Adj Data'!B156</f>
        <v>72.242392724253563</v>
      </c>
      <c r="E164" s="64">
        <f ca="1">RANK(Table1[[#This Row],[Kenpom]],Table1[Kenpom])</f>
        <v>159</v>
      </c>
      <c r="F164" s="44">
        <f ca="1">'Adj Data'!C156</f>
        <v>71.902331799339052</v>
      </c>
      <c r="G164" s="64">
        <f ca="1">RANK(Table1[[#This Row],[PVA]],Table1[PVA])</f>
        <v>163</v>
      </c>
      <c r="H164" s="44">
        <f ca="1">'Adj Data'!D156</f>
        <v>70.430000000000007</v>
      </c>
      <c r="I164" s="64">
        <f ca="1">RANK(Table1[[#This Row],[Sagarin]],Table1[Sagarin])</f>
        <v>183</v>
      </c>
      <c r="J164" s="44" t="str">
        <f ca="1">IFERROR(AVERAGE('Adj Data'!E156,'Adj Data'!F156),"")</f>
        <v/>
      </c>
      <c r="K164" s="64" t="str">
        <f ca="1">IFERROR(RANK(Table1[[#This Row],[Preseason]],Table1[Preseason]),"")</f>
        <v/>
      </c>
    </row>
    <row r="165" spans="1:11" x14ac:dyDescent="0.3">
      <c r="A165" s="64">
        <f ca="1">RANK(Table1[[#This Row],[Composite]],Table1[Composite])</f>
        <v>163</v>
      </c>
      <c r="B165" s="67" t="str">
        <f>'Adj Data'!A158</f>
        <v>Coastal Carolina</v>
      </c>
      <c r="C165" s="44">
        <f ca="1">'Adj Data'!G158</f>
        <v>71.642462449197708</v>
      </c>
      <c r="D165" s="44">
        <f ca="1">'Adj Data'!B158</f>
        <v>71.797328371462839</v>
      </c>
      <c r="E165" s="64">
        <f ca="1">RANK(Table1[[#This Row],[Kenpom]],Table1[Kenpom])</f>
        <v>164</v>
      </c>
      <c r="F165" s="44">
        <f ca="1">'Adj Data'!C158</f>
        <v>72.290058976130268</v>
      </c>
      <c r="G165" s="64">
        <f ca="1">RANK(Table1[[#This Row],[PVA]],Table1[PVA])</f>
        <v>159</v>
      </c>
      <c r="H165" s="44">
        <f ca="1">'Adj Data'!D158</f>
        <v>70.84</v>
      </c>
      <c r="I165" s="64">
        <f ca="1">RANK(Table1[[#This Row],[Sagarin]],Table1[Sagarin])</f>
        <v>176</v>
      </c>
      <c r="J165" s="44" t="str">
        <f ca="1">IFERROR(AVERAGE('Adj Data'!E158,'Adj Data'!F158),"")</f>
        <v/>
      </c>
      <c r="K165" s="64" t="str">
        <f ca="1">IFERROR(RANK(Table1[[#This Row],[Preseason]],Table1[Preseason]),"")</f>
        <v/>
      </c>
    </row>
    <row r="166" spans="1:11" x14ac:dyDescent="0.3">
      <c r="A166" s="64">
        <f ca="1">RANK(Table1[[#This Row],[Composite]],Table1[Composite])</f>
        <v>164</v>
      </c>
      <c r="B166" s="67" t="str">
        <f>'Adj Data'!A172</f>
        <v>Murray State</v>
      </c>
      <c r="C166" s="44">
        <f ca="1">'Adj Data'!G172</f>
        <v>71.528660128626186</v>
      </c>
      <c r="D166" s="44">
        <f ca="1">'Adj Data'!B172</f>
        <v>72.019860547858201</v>
      </c>
      <c r="E166" s="64">
        <f ca="1">RANK(Table1[[#This Row],[Kenpom]],Table1[Kenpom])</f>
        <v>161</v>
      </c>
      <c r="F166" s="44">
        <f ca="1">'Adj Data'!C172</f>
        <v>71.256119838020354</v>
      </c>
      <c r="G166" s="64">
        <f ca="1">RANK(Table1[[#This Row],[PVA]],Table1[PVA])</f>
        <v>170</v>
      </c>
      <c r="H166" s="44">
        <f ca="1">'Adj Data'!D172</f>
        <v>71.31</v>
      </c>
      <c r="I166" s="64">
        <f ca="1">RANK(Table1[[#This Row],[Sagarin]],Table1[Sagarin])</f>
        <v>168</v>
      </c>
      <c r="J166" s="44" t="str">
        <f ca="1">IFERROR(AVERAGE('Adj Data'!E172,'Adj Data'!F172),"")</f>
        <v/>
      </c>
      <c r="K166" s="64" t="str">
        <f ca="1">IFERROR(RANK(Table1[[#This Row],[Preseason]],Table1[Preseason]),"")</f>
        <v/>
      </c>
    </row>
    <row r="167" spans="1:11" x14ac:dyDescent="0.3">
      <c r="A167" s="64">
        <f ca="1">RANK(Table1[[#This Row],[Composite]],Table1[Composite])</f>
        <v>169</v>
      </c>
      <c r="B167" s="67" t="str">
        <f>'Adj Data'!A181</f>
        <v>UMass</v>
      </c>
      <c r="C167" s="44">
        <f ca="1">'Adj Data'!G181</f>
        <v>71.173778352140644</v>
      </c>
      <c r="D167" s="44">
        <f ca="1">'Adj Data'!B181</f>
        <v>70.733700002929041</v>
      </c>
      <c r="E167" s="64">
        <f ca="1">RANK(Table1[[#This Row],[Kenpom]],Table1[Kenpom])</f>
        <v>176</v>
      </c>
      <c r="F167" s="44">
        <f ca="1">'Adj Data'!C181</f>
        <v>70.997635053492871</v>
      </c>
      <c r="G167" s="64">
        <f ca="1">RANK(Table1[[#This Row],[PVA]],Table1[PVA])</f>
        <v>175</v>
      </c>
      <c r="H167" s="44">
        <f ca="1">'Adj Data'!D181</f>
        <v>71.790000000000006</v>
      </c>
      <c r="I167" s="64">
        <f ca="1">RANK(Table1[[#This Row],[Sagarin]],Table1[Sagarin])</f>
        <v>161</v>
      </c>
      <c r="J167" s="44" t="str">
        <f ca="1">IFERROR(AVERAGE('Adj Data'!E181,'Adj Data'!F181),"")</f>
        <v/>
      </c>
      <c r="K167" s="64" t="str">
        <f ca="1">IFERROR(RANK(Table1[[#This Row],[Preseason]],Table1[Preseason]),"")</f>
        <v/>
      </c>
    </row>
    <row r="168" spans="1:11" x14ac:dyDescent="0.3">
      <c r="A168" s="64">
        <f ca="1">RANK(Table1[[#This Row],[Composite]],Table1[Composite])</f>
        <v>166</v>
      </c>
      <c r="B168" s="67" t="str">
        <f>'Adj Data'!A180</f>
        <v>Kent State</v>
      </c>
      <c r="C168" s="44">
        <f ca="1">'Adj Data'!G180</f>
        <v>71.212299161062333</v>
      </c>
      <c r="D168" s="44">
        <f ca="1">'Adj Data'!B180</f>
        <v>70.496080899320432</v>
      </c>
      <c r="E168" s="64">
        <f ca="1">RANK(Table1[[#This Row],[Kenpom]],Table1[Kenpom])</f>
        <v>182</v>
      </c>
      <c r="F168" s="44">
        <f ca="1">'Adj Data'!C180</f>
        <v>72.160816583866534</v>
      </c>
      <c r="G168" s="64">
        <f ca="1">RANK(Table1[[#This Row],[PVA]],Table1[PVA])</f>
        <v>161</v>
      </c>
      <c r="H168" s="44">
        <f ca="1">'Adj Data'!D180</f>
        <v>70.98</v>
      </c>
      <c r="I168" s="64">
        <f ca="1">RANK(Table1[[#This Row],[Sagarin]],Table1[Sagarin])</f>
        <v>174</v>
      </c>
      <c r="J168" s="44" t="str">
        <f ca="1">IFERROR(AVERAGE('Adj Data'!E180,'Adj Data'!F180),"")</f>
        <v/>
      </c>
      <c r="K168" s="64" t="str">
        <f ca="1">IFERROR(RANK(Table1[[#This Row],[Preseason]],Table1[Preseason]),"")</f>
        <v/>
      </c>
    </row>
    <row r="169" spans="1:11" x14ac:dyDescent="0.3">
      <c r="A169" s="64">
        <f ca="1">RANK(Table1[[#This Row],[Composite]],Table1[Composite])</f>
        <v>172</v>
      </c>
      <c r="B169" s="67" t="str">
        <f>'Adj Data'!A169</f>
        <v>Tennessee St</v>
      </c>
      <c r="C169" s="44">
        <f ca="1">'Adj Data'!G169</f>
        <v>71.135562839749639</v>
      </c>
      <c r="D169" s="44">
        <f ca="1">'Adj Data'!B169</f>
        <v>71.748295858019787</v>
      </c>
      <c r="E169" s="64">
        <f ca="1">RANK(Table1[[#This Row],[Kenpom]],Table1[Kenpom])</f>
        <v>165</v>
      </c>
      <c r="F169" s="44">
        <f ca="1">'Adj Data'!C169</f>
        <v>70.868392661229137</v>
      </c>
      <c r="G169" s="64">
        <f ca="1">RANK(Table1[[#This Row],[PVA]],Table1[PVA])</f>
        <v>176</v>
      </c>
      <c r="H169" s="44">
        <f ca="1">'Adj Data'!D169</f>
        <v>70.790000000000006</v>
      </c>
      <c r="I169" s="64">
        <f ca="1">RANK(Table1[[#This Row],[Sagarin]],Table1[Sagarin])</f>
        <v>178</v>
      </c>
      <c r="J169" s="44" t="str">
        <f ca="1">IFERROR(AVERAGE('Adj Data'!E169,'Adj Data'!F169),"")</f>
        <v/>
      </c>
      <c r="K169" s="64" t="str">
        <f ca="1">IFERROR(RANK(Table1[[#This Row],[Preseason]],Table1[Preseason]),"")</f>
        <v/>
      </c>
    </row>
    <row r="170" spans="1:11" x14ac:dyDescent="0.3">
      <c r="A170" s="64">
        <f ca="1">RANK(Table1[[#This Row],[Composite]],Table1[Composite])</f>
        <v>167</v>
      </c>
      <c r="B170" s="67" t="str">
        <f>'Adj Data'!A165</f>
        <v>Bucknell</v>
      </c>
      <c r="C170" s="44">
        <f ca="1">'Adj Data'!G165</f>
        <v>71.179405483461949</v>
      </c>
      <c r="D170" s="44">
        <f ca="1">'Adj Data'!B165</f>
        <v>71.356035750475414</v>
      </c>
      <c r="E170" s="64">
        <f ca="1">RANK(Table1[[#This Row],[Kenpom]],Table1[Kenpom])</f>
        <v>168</v>
      </c>
      <c r="F170" s="44">
        <f ca="1">'Adj Data'!C165</f>
        <v>70.222180699910439</v>
      </c>
      <c r="G170" s="64">
        <f ca="1">RANK(Table1[[#This Row],[PVA]],Table1[PVA])</f>
        <v>186</v>
      </c>
      <c r="H170" s="44">
        <f ca="1">'Adj Data'!D165</f>
        <v>71.959999999999994</v>
      </c>
      <c r="I170" s="64">
        <f ca="1">RANK(Table1[[#This Row],[Sagarin]],Table1[Sagarin])</f>
        <v>159</v>
      </c>
      <c r="J170" s="44" t="str">
        <f ca="1">IFERROR(AVERAGE('Adj Data'!E165,'Adj Data'!F165),"")</f>
        <v/>
      </c>
      <c r="K170" s="64" t="str">
        <f ca="1">IFERROR(RANK(Table1[[#This Row],[Preseason]],Table1[Preseason]),"")</f>
        <v/>
      </c>
    </row>
    <row r="171" spans="1:11" x14ac:dyDescent="0.3">
      <c r="A171" s="64">
        <f ca="1">RANK(Table1[[#This Row],[Composite]],Table1[Composite])</f>
        <v>176</v>
      </c>
      <c r="B171" s="67" t="str">
        <f>'Adj Data'!A175</f>
        <v>Furman</v>
      </c>
      <c r="C171" s="44">
        <f ca="1">'Adj Data'!G175</f>
        <v>70.904780018679389</v>
      </c>
      <c r="D171" s="44">
        <f ca="1">'Adj Data'!B175</f>
        <v>71.518220218017802</v>
      </c>
      <c r="E171" s="64">
        <f ca="1">RANK(Table1[[#This Row],[Kenpom]],Table1[Kenpom])</f>
        <v>167</v>
      </c>
      <c r="F171" s="44">
        <f ca="1">'Adj Data'!C175</f>
        <v>71.256119838020354</v>
      </c>
      <c r="G171" s="64">
        <f ca="1">RANK(Table1[[#This Row],[PVA]],Table1[PVA])</f>
        <v>170</v>
      </c>
      <c r="H171" s="44">
        <f ca="1">'Adj Data'!D175</f>
        <v>69.94</v>
      </c>
      <c r="I171" s="64">
        <f ca="1">RANK(Table1[[#This Row],[Sagarin]],Table1[Sagarin])</f>
        <v>187</v>
      </c>
      <c r="J171" s="44" t="str">
        <f ca="1">IFERROR(AVERAGE('Adj Data'!E175,'Adj Data'!F175),"")</f>
        <v/>
      </c>
      <c r="K171" s="64" t="str">
        <f ca="1">IFERROR(RANK(Table1[[#This Row],[Preseason]],Table1[Preseason]),"")</f>
        <v/>
      </c>
    </row>
    <row r="172" spans="1:11" x14ac:dyDescent="0.3">
      <c r="A172" s="64">
        <f ca="1">RANK(Table1[[#This Row],[Composite]],Table1[Composite])</f>
        <v>175</v>
      </c>
      <c r="B172" s="67" t="str">
        <f>'Adj Data'!A166</f>
        <v>Detroit</v>
      </c>
      <c r="C172" s="44">
        <f ca="1">'Adj Data'!G166</f>
        <v>70.931053033148984</v>
      </c>
      <c r="D172" s="44">
        <f ca="1">'Adj Data'!B166</f>
        <v>71.22779686916283</v>
      </c>
      <c r="E172" s="64">
        <f ca="1">RANK(Table1[[#This Row],[Kenpom]],Table1[Kenpom])</f>
        <v>170</v>
      </c>
      <c r="F172" s="44">
        <f ca="1">'Adj Data'!C166</f>
        <v>71.385362230284088</v>
      </c>
      <c r="G172" s="64">
        <f ca="1">RANK(Table1[[#This Row],[PVA]],Table1[PVA])</f>
        <v>168</v>
      </c>
      <c r="H172" s="44">
        <f ca="1">'Adj Data'!D166</f>
        <v>70.180000000000007</v>
      </c>
      <c r="I172" s="64">
        <f ca="1">RANK(Table1[[#This Row],[Sagarin]],Table1[Sagarin])</f>
        <v>186</v>
      </c>
      <c r="J172" s="44" t="str">
        <f ca="1">IFERROR(AVERAGE('Adj Data'!E166,'Adj Data'!F166),"")</f>
        <v/>
      </c>
      <c r="K172" s="64" t="str">
        <f ca="1">IFERROR(RANK(Table1[[#This Row],[Preseason]],Table1[Preseason]),"")</f>
        <v/>
      </c>
    </row>
    <row r="173" spans="1:11" x14ac:dyDescent="0.3">
      <c r="A173" s="64">
        <f ca="1">RANK(Table1[[#This Row],[Composite]],Table1[Composite])</f>
        <v>170</v>
      </c>
      <c r="B173" s="67" t="str">
        <f>'Adj Data'!A182</f>
        <v>Western Kentucky</v>
      </c>
      <c r="C173" s="44">
        <f ca="1">'Adj Data'!G182</f>
        <v>71.171709140208023</v>
      </c>
      <c r="D173" s="44">
        <f ca="1">'Adj Data'!B182</f>
        <v>71.865219543922436</v>
      </c>
      <c r="E173" s="64">
        <f ca="1">RANK(Table1[[#This Row],[Kenpom]],Table1[Kenpom])</f>
        <v>163</v>
      </c>
      <c r="F173" s="44">
        <f ca="1">'Adj Data'!C182</f>
        <v>70.609907876701655</v>
      </c>
      <c r="G173" s="64">
        <f ca="1">RANK(Table1[[#This Row],[PVA]],Table1[PVA])</f>
        <v>180</v>
      </c>
      <c r="H173" s="44">
        <f ca="1">'Adj Data'!D182</f>
        <v>71.040000000000006</v>
      </c>
      <c r="I173" s="64">
        <f ca="1">RANK(Table1[[#This Row],[Sagarin]],Table1[Sagarin])</f>
        <v>173</v>
      </c>
      <c r="J173" s="44" t="str">
        <f ca="1">IFERROR(AVERAGE('Adj Data'!E182,'Adj Data'!F182),"")</f>
        <v/>
      </c>
      <c r="K173" s="64" t="str">
        <f ca="1">IFERROR(RANK(Table1[[#This Row],[Preseason]],Table1[Preseason]),"")</f>
        <v/>
      </c>
    </row>
    <row r="174" spans="1:11" x14ac:dyDescent="0.3">
      <c r="A174" s="64">
        <f ca="1">RANK(Table1[[#This Row],[Composite]],Table1[Composite])</f>
        <v>174</v>
      </c>
      <c r="B174" s="67" t="str">
        <f>'Adj Data'!A170</f>
        <v>Wyoming</v>
      </c>
      <c r="C174" s="44">
        <f ca="1">'Adj Data'!G170</f>
        <v>70.990337837734998</v>
      </c>
      <c r="D174" s="44">
        <f ca="1">'Adj Data'!B170</f>
        <v>70.631863244239639</v>
      </c>
      <c r="E174" s="64">
        <f ca="1">RANK(Table1[[#This Row],[Kenpom]],Table1[Kenpom])</f>
        <v>179</v>
      </c>
      <c r="F174" s="44">
        <f ca="1">'Adj Data'!C170</f>
        <v>70.739150268965389</v>
      </c>
      <c r="G174" s="64">
        <f ca="1">RANK(Table1[[#This Row],[PVA]],Table1[PVA])</f>
        <v>178</v>
      </c>
      <c r="H174" s="44">
        <f ca="1">'Adj Data'!D170</f>
        <v>71.599999999999994</v>
      </c>
      <c r="I174" s="64">
        <f ca="1">RANK(Table1[[#This Row],[Sagarin]],Table1[Sagarin])</f>
        <v>164</v>
      </c>
      <c r="J174" s="44" t="str">
        <f ca="1">IFERROR(AVERAGE('Adj Data'!E170,'Adj Data'!F170),"")</f>
        <v/>
      </c>
      <c r="K174" s="64" t="str">
        <f ca="1">IFERROR(RANK(Table1[[#This Row],[Preseason]],Table1[Preseason]),"")</f>
        <v/>
      </c>
    </row>
    <row r="175" spans="1:11" x14ac:dyDescent="0.3">
      <c r="A175" s="64">
        <f ca="1">RANK(Table1[[#This Row],[Composite]],Table1[Composite])</f>
        <v>173</v>
      </c>
      <c r="B175" s="67" t="str">
        <f>'Adj Data'!A196</f>
        <v>Harvard</v>
      </c>
      <c r="C175" s="44">
        <f ca="1">'Adj Data'!G196</f>
        <v>71.00978025006134</v>
      </c>
      <c r="D175" s="44">
        <f ca="1">'Adj Data'!B196</f>
        <v>70.597917658009834</v>
      </c>
      <c r="E175" s="64">
        <f ca="1">RANK(Table1[[#This Row],[Kenpom]],Table1[Kenpom])</f>
        <v>180</v>
      </c>
      <c r="F175" s="44">
        <f ca="1">'Adj Data'!C196</f>
        <v>70.351423092174173</v>
      </c>
      <c r="G175" s="64">
        <f ca="1">RANK(Table1[[#This Row],[PVA]],Table1[PVA])</f>
        <v>185</v>
      </c>
      <c r="H175" s="44">
        <f ca="1">'Adj Data'!D196</f>
        <v>72.08</v>
      </c>
      <c r="I175" s="64">
        <f ca="1">RANK(Table1[[#This Row],[Sagarin]],Table1[Sagarin])</f>
        <v>155</v>
      </c>
      <c r="J175" s="44" t="str">
        <f ca="1">IFERROR(AVERAGE('Adj Data'!E196,'Adj Data'!F196),"")</f>
        <v/>
      </c>
      <c r="K175" s="64" t="str">
        <f ca="1">IFERROR(RANK(Table1[[#This Row],[Preseason]],Table1[Preseason]),"")</f>
        <v/>
      </c>
    </row>
    <row r="176" spans="1:11" x14ac:dyDescent="0.3">
      <c r="A176" s="64">
        <f ca="1">RANK(Table1[[#This Row],[Composite]],Table1[Composite])</f>
        <v>168</v>
      </c>
      <c r="B176" s="67" t="str">
        <f>'Adj Data'!A178</f>
        <v>Indiana State</v>
      </c>
      <c r="C176" s="44">
        <f ca="1">'Adj Data'!G178</f>
        <v>71.175601905627445</v>
      </c>
      <c r="D176" s="44">
        <f ca="1">'Adj Data'!B178</f>
        <v>70.729928271125729</v>
      </c>
      <c r="E176" s="64">
        <f ca="1">RANK(Table1[[#This Row],[Kenpom]],Table1[Kenpom])</f>
        <v>177</v>
      </c>
      <c r="F176" s="44">
        <f ca="1">'Adj Data'!C178</f>
        <v>71.126877445756605</v>
      </c>
      <c r="G176" s="64">
        <f ca="1">RANK(Table1[[#This Row],[PVA]],Table1[PVA])</f>
        <v>174</v>
      </c>
      <c r="H176" s="44">
        <f ca="1">'Adj Data'!D178</f>
        <v>71.67</v>
      </c>
      <c r="I176" s="64">
        <f ca="1">RANK(Table1[[#This Row],[Sagarin]],Table1[Sagarin])</f>
        <v>162</v>
      </c>
      <c r="J176" s="44" t="str">
        <f ca="1">IFERROR(AVERAGE('Adj Data'!E178,'Adj Data'!F178),"")</f>
        <v/>
      </c>
      <c r="K176" s="64" t="str">
        <f ca="1">IFERROR(RANK(Table1[[#This Row],[Preseason]],Table1[Preseason]),"")</f>
        <v/>
      </c>
    </row>
    <row r="177" spans="1:11" x14ac:dyDescent="0.3">
      <c r="A177" s="64">
        <f ca="1">RANK(Table1[[#This Row],[Composite]],Table1[Composite])</f>
        <v>178</v>
      </c>
      <c r="B177" s="67" t="str">
        <f>'Adj Data'!A161</f>
        <v>North Florida</v>
      </c>
      <c r="C177" s="44">
        <f ca="1">'Adj Data'!G161</f>
        <v>70.643459790215573</v>
      </c>
      <c r="D177" s="44">
        <f ca="1">'Adj Data'!B161</f>
        <v>69.187289963571402</v>
      </c>
      <c r="E177" s="64">
        <f ca="1">RANK(Table1[[#This Row],[Kenpom]],Table1[Kenpom])</f>
        <v>190</v>
      </c>
      <c r="F177" s="44">
        <f ca="1">'Adj Data'!C161</f>
        <v>71.773089407075304</v>
      </c>
      <c r="G177" s="64">
        <f ca="1">RANK(Table1[[#This Row],[PVA]],Table1[PVA])</f>
        <v>165</v>
      </c>
      <c r="H177" s="44">
        <f ca="1">'Adj Data'!D161</f>
        <v>70.97</v>
      </c>
      <c r="I177" s="64">
        <f ca="1">RANK(Table1[[#This Row],[Sagarin]],Table1[Sagarin])</f>
        <v>175</v>
      </c>
      <c r="J177" s="44" t="str">
        <f ca="1">IFERROR(AVERAGE('Adj Data'!E161,'Adj Data'!F161),"")</f>
        <v/>
      </c>
      <c r="K177" s="64" t="str">
        <f ca="1">IFERROR(RANK(Table1[[#This Row],[Preseason]],Table1[Preseason]),"")</f>
        <v/>
      </c>
    </row>
    <row r="178" spans="1:11" x14ac:dyDescent="0.3">
      <c r="A178" s="64">
        <f ca="1">RANK(Table1[[#This Row],[Composite]],Table1[Composite])</f>
        <v>177</v>
      </c>
      <c r="B178" s="67" t="str">
        <f>'Adj Data'!A173</f>
        <v>Oral Roberts</v>
      </c>
      <c r="C178" s="44">
        <f ca="1">'Adj Data'!G173</f>
        <v>70.765405232009357</v>
      </c>
      <c r="D178" s="44">
        <f ca="1">'Adj Data'!B173</f>
        <v>71.186307819326402</v>
      </c>
      <c r="E178" s="64">
        <f ca="1">RANK(Table1[[#This Row],[Kenpom]],Table1[Kenpom])</f>
        <v>172</v>
      </c>
      <c r="F178" s="44">
        <f ca="1">'Adj Data'!C173</f>
        <v>70.609907876701655</v>
      </c>
      <c r="G178" s="64">
        <f ca="1">RANK(Table1[[#This Row],[PVA]],Table1[PVA])</f>
        <v>180</v>
      </c>
      <c r="H178" s="44">
        <f ca="1">'Adj Data'!D173</f>
        <v>70.5</v>
      </c>
      <c r="I178" s="64">
        <f ca="1">RANK(Table1[[#This Row],[Sagarin]],Table1[Sagarin])</f>
        <v>181</v>
      </c>
      <c r="J178" s="44" t="str">
        <f ca="1">IFERROR(AVERAGE('Adj Data'!E173,'Adj Data'!F173),"")</f>
        <v/>
      </c>
      <c r="K178" s="64" t="str">
        <f ca="1">IFERROR(RANK(Table1[[#This Row],[Preseason]],Table1[Preseason]),"")</f>
        <v/>
      </c>
    </row>
    <row r="179" spans="1:11" x14ac:dyDescent="0.3">
      <c r="A179" s="64">
        <f ca="1">RANK(Table1[[#This Row],[Composite]],Table1[Composite])</f>
        <v>171</v>
      </c>
      <c r="B179" s="67" t="str">
        <f>'Adj Data'!A212</f>
        <v>Florida Gulf Coast</v>
      </c>
      <c r="C179" s="44">
        <f ca="1">'Adj Data'!G212</f>
        <v>71.165328944666143</v>
      </c>
      <c r="D179" s="44">
        <f ca="1">'Adj Data'!B212</f>
        <v>72.053806134088006</v>
      </c>
      <c r="E179" s="64">
        <f ca="1">RANK(Table1[[#This Row],[Kenpom]],Table1[Kenpom])</f>
        <v>160</v>
      </c>
      <c r="F179" s="44">
        <f ca="1">'Adj Data'!C212</f>
        <v>70.222180699910439</v>
      </c>
      <c r="G179" s="64">
        <f ca="1">RANK(Table1[[#This Row],[PVA]],Table1[PVA])</f>
        <v>186</v>
      </c>
      <c r="H179" s="44">
        <f ca="1">'Adj Data'!D212</f>
        <v>71.22</v>
      </c>
      <c r="I179" s="64">
        <f ca="1">RANK(Table1[[#This Row],[Sagarin]],Table1[Sagarin])</f>
        <v>169</v>
      </c>
      <c r="J179" s="44" t="str">
        <f ca="1">IFERROR(AVERAGE('Adj Data'!E212,'Adj Data'!F212),"")</f>
        <v/>
      </c>
      <c r="K179" s="64" t="str">
        <f ca="1">IFERROR(RANK(Table1[[#This Row],[Preseason]],Table1[Preseason]),"")</f>
        <v/>
      </c>
    </row>
    <row r="180" spans="1:11" x14ac:dyDescent="0.3">
      <c r="A180" s="64">
        <f ca="1">RANK(Table1[[#This Row],[Composite]],Table1[Composite])</f>
        <v>181</v>
      </c>
      <c r="B180" s="67" t="str">
        <f>'Adj Data'!A191</f>
        <v>Western Michigan</v>
      </c>
      <c r="C180" s="44">
        <f ca="1">'Adj Data'!G191</f>
        <v>70.426032534520814</v>
      </c>
      <c r="D180" s="44">
        <f ca="1">'Adj Data'!B191</f>
        <v>70.428189726860822</v>
      </c>
      <c r="E180" s="64">
        <f ca="1">RANK(Table1[[#This Row],[Kenpom]],Table1[Kenpom])</f>
        <v>183</v>
      </c>
      <c r="F180" s="44">
        <f ca="1">'Adj Data'!C191</f>
        <v>70.609907876701655</v>
      </c>
      <c r="G180" s="64">
        <f ca="1">RANK(Table1[[#This Row],[PVA]],Table1[PVA])</f>
        <v>180</v>
      </c>
      <c r="H180" s="44">
        <f ca="1">'Adj Data'!D191</f>
        <v>70.239999999999995</v>
      </c>
      <c r="I180" s="64">
        <f ca="1">RANK(Table1[[#This Row],[Sagarin]],Table1[Sagarin])</f>
        <v>185</v>
      </c>
      <c r="J180" s="44" t="str">
        <f ca="1">IFERROR(AVERAGE('Adj Data'!E191,'Adj Data'!F191),"")</f>
        <v/>
      </c>
      <c r="K180" s="64" t="str">
        <f ca="1">IFERROR(RANK(Table1[[#This Row],[Preseason]],Table1[Preseason]),"")</f>
        <v/>
      </c>
    </row>
    <row r="181" spans="1:11" x14ac:dyDescent="0.3">
      <c r="A181" s="64">
        <f ca="1">RANK(Table1[[#This Row],[Composite]],Table1[Composite])</f>
        <v>184</v>
      </c>
      <c r="B181" s="67" t="str">
        <f>'Adj Data'!A179</f>
        <v>Mercer</v>
      </c>
      <c r="C181" s="44">
        <f ca="1">'Adj Data'!G179</f>
        <v>70.167298195373078</v>
      </c>
      <c r="D181" s="44">
        <f ca="1">'Adj Data'!B179</f>
        <v>69.187289963571402</v>
      </c>
      <c r="E181" s="64">
        <f ca="1">RANK(Table1[[#This Row],[Kenpom]],Table1[Kenpom])</f>
        <v>190</v>
      </c>
      <c r="F181" s="44">
        <f ca="1">'Adj Data'!C179</f>
        <v>71.514604622547836</v>
      </c>
      <c r="G181" s="64">
        <f ca="1">RANK(Table1[[#This Row],[PVA]],Table1[PVA])</f>
        <v>166</v>
      </c>
      <c r="H181" s="44">
        <f ca="1">'Adj Data'!D179</f>
        <v>69.8</v>
      </c>
      <c r="I181" s="64">
        <f ca="1">RANK(Table1[[#This Row],[Sagarin]],Table1[Sagarin])</f>
        <v>189</v>
      </c>
      <c r="J181" s="44" t="str">
        <f ca="1">IFERROR(AVERAGE('Adj Data'!E179,'Adj Data'!F179),"")</f>
        <v/>
      </c>
      <c r="K181" s="64" t="str">
        <f ca="1">IFERROR(RANK(Table1[[#This Row],[Preseason]],Table1[Preseason]),"")</f>
        <v/>
      </c>
    </row>
    <row r="182" spans="1:11" x14ac:dyDescent="0.3">
      <c r="A182" s="64">
        <f ca="1">RANK(Table1[[#This Row],[Composite]],Table1[Composite])</f>
        <v>183</v>
      </c>
      <c r="B182" s="67" t="str">
        <f>'Adj Data'!A199</f>
        <v>UCF</v>
      </c>
      <c r="C182" s="44">
        <f ca="1">'Adj Data'!G199</f>
        <v>70.207590994234167</v>
      </c>
      <c r="D182" s="44">
        <f ca="1">'Adj Data'!B199</f>
        <v>68.55741075241842</v>
      </c>
      <c r="E182" s="64">
        <f ca="1">RANK(Table1[[#This Row],[Kenpom]],Table1[Kenpom])</f>
        <v>199</v>
      </c>
      <c r="F182" s="44">
        <f ca="1">'Adj Data'!C199</f>
        <v>71.385362230284088</v>
      </c>
      <c r="G182" s="64">
        <f ca="1">RANK(Table1[[#This Row],[PVA]],Table1[PVA])</f>
        <v>168</v>
      </c>
      <c r="H182" s="44">
        <f ca="1">'Adj Data'!D199</f>
        <v>70.680000000000007</v>
      </c>
      <c r="I182" s="64">
        <f ca="1">RANK(Table1[[#This Row],[Sagarin]],Table1[Sagarin])</f>
        <v>180</v>
      </c>
      <c r="J182" s="44" t="str">
        <f ca="1">IFERROR(AVERAGE('Adj Data'!E199,'Adj Data'!F199),"")</f>
        <v/>
      </c>
      <c r="K182" s="64" t="str">
        <f ca="1">IFERROR(RANK(Table1[[#This Row],[Preseason]],Table1[Preseason]),"")</f>
        <v/>
      </c>
    </row>
    <row r="183" spans="1:11" x14ac:dyDescent="0.3">
      <c r="A183" s="64">
        <f ca="1">RANK(Table1[[#This Row],[Composite]],Table1[Composite])</f>
        <v>179</v>
      </c>
      <c r="B183" s="67" t="str">
        <f>'Adj Data'!A189</f>
        <v>Georgia State</v>
      </c>
      <c r="C183" s="44">
        <f ca="1">'Adj Data'!G189</f>
        <v>70.549032561274984</v>
      </c>
      <c r="D183" s="44">
        <f ca="1">'Adj Data'!B189</f>
        <v>70.944916983914482</v>
      </c>
      <c r="E183" s="64">
        <f ca="1">RANK(Table1[[#This Row],[Kenpom]],Table1[Kenpom])</f>
        <v>174</v>
      </c>
      <c r="F183" s="44">
        <f ca="1">'Adj Data'!C189</f>
        <v>70.222180699910439</v>
      </c>
      <c r="G183" s="64">
        <f ca="1">RANK(Table1[[#This Row],[PVA]],Table1[PVA])</f>
        <v>186</v>
      </c>
      <c r="H183" s="44">
        <f ca="1">'Adj Data'!D189</f>
        <v>70.48</v>
      </c>
      <c r="I183" s="64">
        <f ca="1">RANK(Table1[[#This Row],[Sagarin]],Table1[Sagarin])</f>
        <v>182</v>
      </c>
      <c r="J183" s="44" t="str">
        <f ca="1">IFERROR(AVERAGE('Adj Data'!E189,'Adj Data'!F189),"")</f>
        <v/>
      </c>
      <c r="K183" s="64" t="str">
        <f ca="1">IFERROR(RANK(Table1[[#This Row],[Preseason]],Table1[Preseason]),"")</f>
        <v/>
      </c>
    </row>
    <row r="184" spans="1:11" x14ac:dyDescent="0.3">
      <c r="A184" s="64">
        <f ca="1">RANK(Table1[[#This Row],[Composite]],Table1[Composite])</f>
        <v>180</v>
      </c>
      <c r="B184" s="67" t="str">
        <f>'Adj Data'!A185</f>
        <v>Loyola (CHI)</v>
      </c>
      <c r="C184" s="44">
        <f ca="1">'Adj Data'!G185</f>
        <v>70.484069061820222</v>
      </c>
      <c r="D184" s="44">
        <f ca="1">'Adj Data'!B185</f>
        <v>70.530026485550223</v>
      </c>
      <c r="E184" s="64">
        <f ca="1">RANK(Table1[[#This Row],[Kenpom]],Table1[Kenpom])</f>
        <v>181</v>
      </c>
      <c r="F184" s="44">
        <f ca="1">'Adj Data'!C185</f>
        <v>70.222180699910439</v>
      </c>
      <c r="G184" s="64">
        <f ca="1">RANK(Table1[[#This Row],[PVA]],Table1[PVA])</f>
        <v>186</v>
      </c>
      <c r="H184" s="44">
        <f ca="1">'Adj Data'!D185</f>
        <v>70.7</v>
      </c>
      <c r="I184" s="64">
        <f ca="1">RANK(Table1[[#This Row],[Sagarin]],Table1[Sagarin])</f>
        <v>179</v>
      </c>
      <c r="J184" s="44" t="str">
        <f ca="1">IFERROR(AVERAGE('Adj Data'!E185,'Adj Data'!F185),"")</f>
        <v/>
      </c>
      <c r="K184" s="64" t="str">
        <f ca="1">IFERROR(RANK(Table1[[#This Row],[Preseason]],Table1[Preseason]),"")</f>
        <v/>
      </c>
    </row>
    <row r="185" spans="1:11" x14ac:dyDescent="0.3">
      <c r="A185" s="64">
        <f ca="1">RANK(Table1[[#This Row],[Composite]],Table1[Composite])</f>
        <v>186</v>
      </c>
      <c r="B185" s="67" t="str">
        <f>'Adj Data'!A188</f>
        <v>Washington St</v>
      </c>
      <c r="C185" s="44">
        <f ca="1">'Adj Data'!G188</f>
        <v>70.004423745750728</v>
      </c>
      <c r="D185" s="44">
        <f ca="1">'Adj Data'!B188</f>
        <v>68.334878576023044</v>
      </c>
      <c r="E185" s="64">
        <f ca="1">RANK(Table1[[#This Row],[Kenpom]],Table1[Kenpom])</f>
        <v>201</v>
      </c>
      <c r="F185" s="44">
        <f ca="1">'Adj Data'!C188</f>
        <v>70.868392661229137</v>
      </c>
      <c r="G185" s="64">
        <f ca="1">RANK(Table1[[#This Row],[PVA]],Table1[PVA])</f>
        <v>176</v>
      </c>
      <c r="H185" s="44">
        <f ca="1">'Adj Data'!D188</f>
        <v>70.81</v>
      </c>
      <c r="I185" s="64">
        <f ca="1">RANK(Table1[[#This Row],[Sagarin]],Table1[Sagarin])</f>
        <v>177</v>
      </c>
      <c r="J185" s="44" t="str">
        <f ca="1">IFERROR(AVERAGE('Adj Data'!E188,'Adj Data'!F188),"")</f>
        <v/>
      </c>
      <c r="K185" s="64" t="str">
        <f ca="1">IFERROR(RANK(Table1[[#This Row],[Preseason]],Table1[Preseason]),"")</f>
        <v/>
      </c>
    </row>
    <row r="186" spans="1:11" x14ac:dyDescent="0.3">
      <c r="A186" s="64">
        <f ca="1">RANK(Table1[[#This Row],[Composite]],Table1[Composite])</f>
        <v>185</v>
      </c>
      <c r="B186" s="67" t="str">
        <f>'Adj Data'!A187</f>
        <v>Auburn</v>
      </c>
      <c r="C186" s="44">
        <f ca="1">'Adj Data'!G187</f>
        <v>70.073996158340961</v>
      </c>
      <c r="D186" s="44">
        <f ca="1">'Adj Data'!B187</f>
        <v>67.855868637002516</v>
      </c>
      <c r="E186" s="64">
        <f ca="1">RANK(Table1[[#This Row],[Kenpom]],Table1[Kenpom])</f>
        <v>207</v>
      </c>
      <c r="F186" s="44">
        <f ca="1">'Adj Data'!C187</f>
        <v>71.256119838020354</v>
      </c>
      <c r="G186" s="64">
        <f ca="1">RANK(Table1[[#This Row],[PVA]],Table1[PVA])</f>
        <v>170</v>
      </c>
      <c r="H186" s="44">
        <f ca="1">'Adj Data'!D187</f>
        <v>71.11</v>
      </c>
      <c r="I186" s="64">
        <f ca="1">RANK(Table1[[#This Row],[Sagarin]],Table1[Sagarin])</f>
        <v>171</v>
      </c>
      <c r="J186" s="44" t="str">
        <f ca="1">IFERROR(AVERAGE('Adj Data'!E187,'Adj Data'!F187),"")</f>
        <v/>
      </c>
      <c r="K186" s="64" t="str">
        <f ca="1">IFERROR(RANK(Table1[[#This Row],[Preseason]],Table1[Preseason]),"")</f>
        <v/>
      </c>
    </row>
    <row r="187" spans="1:11" x14ac:dyDescent="0.3">
      <c r="A187" s="64">
        <f ca="1">RANK(Table1[[#This Row],[Composite]],Table1[Composite])</f>
        <v>189</v>
      </c>
      <c r="B187" s="67" t="str">
        <f>'Adj Data'!A168</f>
        <v>Minnesota</v>
      </c>
      <c r="C187" s="44">
        <f ca="1">'Adj Data'!G168</f>
        <v>69.854920743037425</v>
      </c>
      <c r="D187" s="44">
        <f ca="1">'Adj Data'!B168</f>
        <v>66.818642391091899</v>
      </c>
      <c r="E187" s="64">
        <f ca="1">RANK(Table1[[#This Row],[Kenpom]],Table1[Kenpom])</f>
        <v>223</v>
      </c>
      <c r="F187" s="44">
        <f ca="1">'Adj Data'!C168</f>
        <v>71.256119838020354</v>
      </c>
      <c r="G187" s="64">
        <f ca="1">RANK(Table1[[#This Row],[PVA]],Table1[PVA])</f>
        <v>170</v>
      </c>
      <c r="H187" s="44">
        <f ca="1">'Adj Data'!D168</f>
        <v>71.489999999999995</v>
      </c>
      <c r="I187" s="64">
        <f ca="1">RANK(Table1[[#This Row],[Sagarin]],Table1[Sagarin])</f>
        <v>165</v>
      </c>
      <c r="J187" s="44" t="str">
        <f ca="1">IFERROR(AVERAGE('Adj Data'!E168,'Adj Data'!F168),"")</f>
        <v/>
      </c>
      <c r="K187" s="64" t="str">
        <f ca="1">IFERROR(RANK(Table1[[#This Row],[Preseason]],Table1[Preseason]),"")</f>
        <v/>
      </c>
    </row>
    <row r="188" spans="1:11" x14ac:dyDescent="0.3">
      <c r="A188" s="64">
        <f ca="1">RANK(Table1[[#This Row],[Composite]],Table1[Composite])</f>
        <v>187</v>
      </c>
      <c r="B188" s="67" t="str">
        <f>'Adj Data'!A167</f>
        <v>Lehigh</v>
      </c>
      <c r="C188" s="44">
        <f ca="1">'Adj Data'!G167</f>
        <v>69.989750858364332</v>
      </c>
      <c r="D188" s="44">
        <f ca="1">'Adj Data'!B167</f>
        <v>71.220253405556207</v>
      </c>
      <c r="E188" s="64">
        <f ca="1">RANK(Table1[[#This Row],[Kenpom]],Table1[Kenpom])</f>
        <v>171</v>
      </c>
      <c r="F188" s="44">
        <f ca="1">'Adj Data'!C167</f>
        <v>69.058999169536776</v>
      </c>
      <c r="G188" s="64">
        <f ca="1">RANK(Table1[[#This Row],[PVA]],Table1[PVA])</f>
        <v>198</v>
      </c>
      <c r="H188" s="44">
        <f ca="1">'Adj Data'!D167</f>
        <v>69.69</v>
      </c>
      <c r="I188" s="64">
        <f ca="1">RANK(Table1[[#This Row],[Sagarin]],Table1[Sagarin])</f>
        <v>191</v>
      </c>
      <c r="J188" s="44" t="str">
        <f ca="1">IFERROR(AVERAGE('Adj Data'!E167,'Adj Data'!F167),"")</f>
        <v/>
      </c>
      <c r="K188" s="64" t="str">
        <f ca="1">IFERROR(RANK(Table1[[#This Row],[Preseason]],Table1[Preseason]),"")</f>
        <v/>
      </c>
    </row>
    <row r="189" spans="1:11" x14ac:dyDescent="0.3">
      <c r="A189" s="64">
        <f ca="1">RANK(Table1[[#This Row],[Composite]],Table1[Composite])</f>
        <v>182</v>
      </c>
      <c r="B189" s="67" t="str">
        <f>'Adj Data'!A163</f>
        <v>Wagner</v>
      </c>
      <c r="C189" s="44">
        <f ca="1">'Adj Data'!G163</f>
        <v>70.255860182126412</v>
      </c>
      <c r="D189" s="44">
        <f ca="1">'Adj Data'!B163</f>
        <v>71.92933898457872</v>
      </c>
      <c r="E189" s="64">
        <f ca="1">RANK(Table1[[#This Row],[Kenpom]],Table1[Kenpom])</f>
        <v>162</v>
      </c>
      <c r="F189" s="44">
        <f ca="1">'Adj Data'!C163</f>
        <v>69.18824156180051</v>
      </c>
      <c r="G189" s="64">
        <f ca="1">RANK(Table1[[#This Row],[PVA]],Table1[PVA])</f>
        <v>193</v>
      </c>
      <c r="H189" s="44">
        <f ca="1">'Adj Data'!D163</f>
        <v>69.650000000000006</v>
      </c>
      <c r="I189" s="64">
        <f ca="1">RANK(Table1[[#This Row],[Sagarin]],Table1[Sagarin])</f>
        <v>192</v>
      </c>
      <c r="J189" s="44" t="str">
        <f ca="1">IFERROR(AVERAGE('Adj Data'!E163,'Adj Data'!F163),"")</f>
        <v/>
      </c>
      <c r="K189" s="64" t="str">
        <f ca="1">IFERROR(RANK(Table1[[#This Row],[Preseason]],Table1[Preseason]),"")</f>
        <v/>
      </c>
    </row>
    <row r="190" spans="1:11" x14ac:dyDescent="0.3">
      <c r="A190" s="64">
        <f ca="1">RANK(Table1[[#This Row],[Composite]],Table1[Composite])</f>
        <v>188</v>
      </c>
      <c r="B190" s="67" t="str">
        <f>'Adj Data'!A171</f>
        <v>Texas Southern</v>
      </c>
      <c r="C190" s="44">
        <f ca="1">'Adj Data'!G171</f>
        <v>69.904560036331489</v>
      </c>
      <c r="D190" s="44">
        <f ca="1">'Adj Data'!B171</f>
        <v>71.035438547193948</v>
      </c>
      <c r="E190" s="64">
        <f ca="1">RANK(Table1[[#This Row],[Kenpom]],Table1[Kenpom])</f>
        <v>173</v>
      </c>
      <c r="F190" s="44">
        <f ca="1">'Adj Data'!C171</f>
        <v>69.18824156180051</v>
      </c>
      <c r="G190" s="64">
        <f ca="1">RANK(Table1[[#This Row],[PVA]],Table1[PVA])</f>
        <v>193</v>
      </c>
      <c r="H190" s="44">
        <f ca="1">'Adj Data'!D171</f>
        <v>69.489999999999995</v>
      </c>
      <c r="I190" s="64">
        <f ca="1">RANK(Table1[[#This Row],[Sagarin]],Table1[Sagarin])</f>
        <v>194</v>
      </c>
      <c r="J190" s="44" t="str">
        <f ca="1">IFERROR(AVERAGE('Adj Data'!E171,'Adj Data'!F171),"")</f>
        <v/>
      </c>
      <c r="K190" s="64" t="str">
        <f ca="1">IFERROR(RANK(Table1[[#This Row],[Preseason]],Table1[Preseason]),"")</f>
        <v/>
      </c>
    </row>
    <row r="191" spans="1:11" x14ac:dyDescent="0.3">
      <c r="A191" s="64">
        <f ca="1">RANK(Table1[[#This Row],[Composite]],Table1[Composite])</f>
        <v>192</v>
      </c>
      <c r="B191" s="67" t="str">
        <f>'Adj Data'!A205</f>
        <v>Denver</v>
      </c>
      <c r="C191" s="44">
        <f ca="1">'Adj Data'!G205</f>
        <v>69.707821908025849</v>
      </c>
      <c r="D191" s="44">
        <f ca="1">'Adj Data'!B205</f>
        <v>69.492800239639621</v>
      </c>
      <c r="E191" s="64">
        <f ca="1">RANK(Table1[[#This Row],[Kenpom]],Table1[Kenpom])</f>
        <v>186</v>
      </c>
      <c r="F191" s="44">
        <f ca="1">'Adj Data'!C205</f>
        <v>70.480665484437907</v>
      </c>
      <c r="G191" s="64">
        <f ca="1">RANK(Table1[[#This Row],[PVA]],Table1[PVA])</f>
        <v>184</v>
      </c>
      <c r="H191" s="44">
        <f ca="1">'Adj Data'!D205</f>
        <v>69.150000000000006</v>
      </c>
      <c r="I191" s="64">
        <f ca="1">RANK(Table1[[#This Row],[Sagarin]],Table1[Sagarin])</f>
        <v>200</v>
      </c>
      <c r="J191" s="44" t="str">
        <f ca="1">IFERROR(AVERAGE('Adj Data'!E205,'Adj Data'!F205),"")</f>
        <v/>
      </c>
      <c r="K191" s="64" t="str">
        <f ca="1">IFERROR(RANK(Table1[[#This Row],[Preseason]],Table1[Preseason]),"")</f>
        <v/>
      </c>
    </row>
    <row r="192" spans="1:11" x14ac:dyDescent="0.3">
      <c r="A192" s="64">
        <f ca="1">RANK(Table1[[#This Row],[Composite]],Table1[Composite])</f>
        <v>201</v>
      </c>
      <c r="B192" s="67" t="str">
        <f>'Adj Data'!A186</f>
        <v>Fairfield</v>
      </c>
      <c r="C192" s="44">
        <f ca="1">'Adj Data'!G186</f>
        <v>68.790622377481313</v>
      </c>
      <c r="D192" s="44">
        <f ca="1">'Adj Data'!B186</f>
        <v>68.202867962907149</v>
      </c>
      <c r="E192" s="64">
        <f ca="1">RANK(Table1[[#This Row],[Kenpom]],Table1[Kenpom])</f>
        <v>202</v>
      </c>
      <c r="F192" s="44">
        <f ca="1">'Adj Data'!C186</f>
        <v>69.058999169536776</v>
      </c>
      <c r="G192" s="64">
        <f ca="1">RANK(Table1[[#This Row],[PVA]],Table1[PVA])</f>
        <v>198</v>
      </c>
      <c r="H192" s="44">
        <f ca="1">'Adj Data'!D186</f>
        <v>69.11</v>
      </c>
      <c r="I192" s="64">
        <f ca="1">RANK(Table1[[#This Row],[Sagarin]],Table1[Sagarin])</f>
        <v>202</v>
      </c>
      <c r="J192" s="44" t="str">
        <f ca="1">IFERROR(AVERAGE('Adj Data'!E186,'Adj Data'!F186),"")</f>
        <v/>
      </c>
      <c r="K192" s="64" t="str">
        <f ca="1">IFERROR(RANK(Table1[[#This Row],[Preseason]],Table1[Preseason]),"")</f>
        <v/>
      </c>
    </row>
    <row r="193" spans="1:11" x14ac:dyDescent="0.3">
      <c r="A193" s="64">
        <f ca="1">RANK(Table1[[#This Row],[Composite]],Table1[Composite])</f>
        <v>190</v>
      </c>
      <c r="B193" s="67" t="str">
        <f>'Adj Data'!A183</f>
        <v>Tennnessee Tech</v>
      </c>
      <c r="C193" s="44">
        <f ca="1">'Adj Data'!G183</f>
        <v>69.760574529533017</v>
      </c>
      <c r="D193" s="44">
        <f ca="1">'Adj Data'!B183</f>
        <v>68.802573319633652</v>
      </c>
      <c r="E193" s="64">
        <f ca="1">RANK(Table1[[#This Row],[Kenpom]],Table1[Kenpom])</f>
        <v>195</v>
      </c>
      <c r="F193" s="44">
        <f ca="1">'Adj Data'!C183</f>
        <v>70.739150268965389</v>
      </c>
      <c r="G193" s="64">
        <f ca="1">RANK(Table1[[#This Row],[PVA]],Table1[PVA])</f>
        <v>178</v>
      </c>
      <c r="H193" s="44">
        <f ca="1">'Adj Data'!D183</f>
        <v>69.739999999999995</v>
      </c>
      <c r="I193" s="64">
        <f ca="1">RANK(Table1[[#This Row],[Sagarin]],Table1[Sagarin])</f>
        <v>190</v>
      </c>
      <c r="J193" s="44" t="str">
        <f ca="1">IFERROR(AVERAGE('Adj Data'!E183,'Adj Data'!F183),"")</f>
        <v/>
      </c>
      <c r="K193" s="64" t="str">
        <f ca="1">IFERROR(RANK(Table1[[#This Row],[Preseason]],Table1[Preseason]),"")</f>
        <v/>
      </c>
    </row>
    <row r="194" spans="1:11" x14ac:dyDescent="0.3">
      <c r="A194" s="64">
        <f ca="1">RANK(Table1[[#This Row],[Composite]],Table1[Composite])</f>
        <v>191</v>
      </c>
      <c r="B194" s="67" t="str">
        <f>'Adj Data'!A192</f>
        <v>DePaul</v>
      </c>
      <c r="C194" s="44">
        <f ca="1">'Adj Data'!G192</f>
        <v>69.713798347843451</v>
      </c>
      <c r="D194" s="44">
        <f ca="1">'Adj Data'!B192</f>
        <v>68.383911089466096</v>
      </c>
      <c r="E194" s="64">
        <f ca="1">RANK(Table1[[#This Row],[Kenpom]],Table1[Kenpom])</f>
        <v>200</v>
      </c>
      <c r="F194" s="44">
        <f ca="1">'Adj Data'!C192</f>
        <v>69.317483954064258</v>
      </c>
      <c r="G194" s="64">
        <f ca="1">RANK(Table1[[#This Row],[PVA]],Table1[PVA])</f>
        <v>192</v>
      </c>
      <c r="H194" s="44">
        <f ca="1">'Adj Data'!D192</f>
        <v>71.44</v>
      </c>
      <c r="I194" s="64">
        <f ca="1">RANK(Table1[[#This Row],[Sagarin]],Table1[Sagarin])</f>
        <v>166</v>
      </c>
      <c r="J194" s="44" t="str">
        <f ca="1">IFERROR(AVERAGE('Adj Data'!E192,'Adj Data'!F192),"")</f>
        <v/>
      </c>
      <c r="K194" s="64" t="str">
        <f ca="1">IFERROR(RANK(Table1[[#This Row],[Preseason]],Table1[Preseason]),"")</f>
        <v/>
      </c>
    </row>
    <row r="195" spans="1:11" x14ac:dyDescent="0.3">
      <c r="A195" s="64">
        <f ca="1">RANK(Table1[[#This Row],[Composite]],Table1[Composite])</f>
        <v>193</v>
      </c>
      <c r="B195" s="67" t="str">
        <f>'Adj Data'!A210</f>
        <v>East Carolina</v>
      </c>
      <c r="C195" s="44">
        <f ca="1">'Adj Data'!G210</f>
        <v>69.521900291234047</v>
      </c>
      <c r="D195" s="44">
        <f ca="1">'Adj Data'!B210</f>
        <v>67.625792997000531</v>
      </c>
      <c r="E195" s="64">
        <f ca="1">RANK(Table1[[#This Row],[Kenpom]],Table1[Kenpom])</f>
        <v>213</v>
      </c>
      <c r="F195" s="44">
        <f ca="1">'Adj Data'!C210</f>
        <v>70.609907876701655</v>
      </c>
      <c r="G195" s="64">
        <f ca="1">RANK(Table1[[#This Row],[PVA]],Table1[PVA])</f>
        <v>180</v>
      </c>
      <c r="H195" s="44">
        <f ca="1">'Adj Data'!D210</f>
        <v>70.33</v>
      </c>
      <c r="I195" s="64">
        <f ca="1">RANK(Table1[[#This Row],[Sagarin]],Table1[Sagarin])</f>
        <v>184</v>
      </c>
      <c r="J195" s="44" t="str">
        <f ca="1">IFERROR(AVERAGE('Adj Data'!E210,'Adj Data'!F210),"")</f>
        <v/>
      </c>
      <c r="K195" s="64" t="str">
        <f ca="1">IFERROR(RANK(Table1[[#This Row],[Preseason]],Table1[Preseason]),"")</f>
        <v/>
      </c>
    </row>
    <row r="196" spans="1:11" x14ac:dyDescent="0.3">
      <c r="A196" s="64">
        <f ca="1">RANK(Table1[[#This Row],[Composite]],Table1[Composite])</f>
        <v>196</v>
      </c>
      <c r="B196" s="67" t="str">
        <f>'Adj Data'!A184</f>
        <v>Wofford</v>
      </c>
      <c r="C196" s="44">
        <f ca="1">'Adj Data'!G184</f>
        <v>69.292825730621388</v>
      </c>
      <c r="D196" s="44">
        <f ca="1">'Adj Data'!B184</f>
        <v>69.737962806854853</v>
      </c>
      <c r="E196" s="64">
        <f ca="1">RANK(Table1[[#This Row],[Kenpom]],Table1[Kenpom])</f>
        <v>184</v>
      </c>
      <c r="F196" s="44">
        <f ca="1">'Adj Data'!C184</f>
        <v>68.800514385009294</v>
      </c>
      <c r="G196" s="64">
        <f ca="1">RANK(Table1[[#This Row],[PVA]],Table1[PVA])</f>
        <v>203</v>
      </c>
      <c r="H196" s="44">
        <f ca="1">'Adj Data'!D184</f>
        <v>69.34</v>
      </c>
      <c r="I196" s="64">
        <f ca="1">RANK(Table1[[#This Row],[Sagarin]],Table1[Sagarin])</f>
        <v>198</v>
      </c>
      <c r="J196" s="44" t="str">
        <f ca="1">IFERROR(AVERAGE('Adj Data'!E184,'Adj Data'!F184),"")</f>
        <v/>
      </c>
      <c r="K196" s="64" t="str">
        <f ca="1">IFERROR(RANK(Table1[[#This Row],[Preseason]],Table1[Preseason]),"")</f>
        <v/>
      </c>
    </row>
    <row r="197" spans="1:11" x14ac:dyDescent="0.3">
      <c r="A197" s="64">
        <f ca="1">RANK(Table1[[#This Row],[Composite]],Table1[Composite])</f>
        <v>195</v>
      </c>
      <c r="B197" s="67" t="str">
        <f>'Adj Data'!A206</f>
        <v>San Francisco</v>
      </c>
      <c r="C197" s="44">
        <f ca="1">'Adj Data'!G206</f>
        <v>69.299261483496366</v>
      </c>
      <c r="D197" s="44">
        <f ca="1">'Adj Data'!B206</f>
        <v>68.802573319633652</v>
      </c>
      <c r="E197" s="64">
        <f ca="1">RANK(Table1[[#This Row],[Kenpom]],Table1[Kenpom])</f>
        <v>195</v>
      </c>
      <c r="F197" s="44">
        <f ca="1">'Adj Data'!C206</f>
        <v>69.705211130855474</v>
      </c>
      <c r="G197" s="64">
        <f ca="1">RANK(Table1[[#This Row],[PVA]],Table1[PVA])</f>
        <v>191</v>
      </c>
      <c r="H197" s="44">
        <f ca="1">'Adj Data'!D206</f>
        <v>69.39</v>
      </c>
      <c r="I197" s="64">
        <f ca="1">RANK(Table1[[#This Row],[Sagarin]],Table1[Sagarin])</f>
        <v>197</v>
      </c>
      <c r="J197" s="44" t="str">
        <f ca="1">IFERROR(AVERAGE('Adj Data'!E206,'Adj Data'!F206),"")</f>
        <v/>
      </c>
      <c r="K197" s="64" t="str">
        <f ca="1">IFERROR(RANK(Table1[[#This Row],[Preseason]],Table1[Preseason]),"")</f>
        <v/>
      </c>
    </row>
    <row r="198" spans="1:11" x14ac:dyDescent="0.3">
      <c r="A198" s="64">
        <f ca="1">RANK(Table1[[#This Row],[Composite]],Table1[Composite])</f>
        <v>194</v>
      </c>
      <c r="B198" s="67" t="str">
        <f>'Adj Data'!A200</f>
        <v>Charlotte</v>
      </c>
      <c r="C198" s="44">
        <f ca="1">'Adj Data'!G200</f>
        <v>69.357549594405754</v>
      </c>
      <c r="D198" s="44">
        <f ca="1">'Adj Data'!B200</f>
        <v>69.258952867834324</v>
      </c>
      <c r="E198" s="64">
        <f ca="1">RANK(Table1[[#This Row],[Kenpom]],Table1[Kenpom])</f>
        <v>187</v>
      </c>
      <c r="F198" s="44">
        <f ca="1">'Adj Data'!C200</f>
        <v>69.963695915382957</v>
      </c>
      <c r="G198" s="64">
        <f ca="1">RANK(Table1[[#This Row],[PVA]],Table1[PVA])</f>
        <v>190</v>
      </c>
      <c r="H198" s="44">
        <f ca="1">'Adj Data'!D200</f>
        <v>68.849999999999994</v>
      </c>
      <c r="I198" s="64">
        <f ca="1">RANK(Table1[[#This Row],[Sagarin]],Table1[Sagarin])</f>
        <v>204</v>
      </c>
      <c r="J198" s="44" t="str">
        <f ca="1">IFERROR(AVERAGE('Adj Data'!E200,'Adj Data'!F200),"")</f>
        <v/>
      </c>
      <c r="K198" s="64" t="str">
        <f ca="1">IFERROR(RANK(Table1[[#This Row],[Preseason]],Table1[Preseason]),"")</f>
        <v/>
      </c>
    </row>
    <row r="199" spans="1:11" x14ac:dyDescent="0.3">
      <c r="A199" s="64">
        <f ca="1">RANK(Table1[[#This Row],[Composite]],Table1[Composite])</f>
        <v>199</v>
      </c>
      <c r="B199" s="67" t="str">
        <f>'Adj Data'!A193</f>
        <v>Western Carolina</v>
      </c>
      <c r="C199" s="44">
        <f ca="1">'Adj Data'!G193</f>
        <v>68.940198626054212</v>
      </c>
      <c r="D199" s="44">
        <f ca="1">'Adj Data'!B193</f>
        <v>69.632354316362139</v>
      </c>
      <c r="E199" s="64">
        <f ca="1">RANK(Table1[[#This Row],[Kenpom]],Table1[Kenpom])</f>
        <v>185</v>
      </c>
      <c r="F199" s="44">
        <f ca="1">'Adj Data'!C193</f>
        <v>69.18824156180051</v>
      </c>
      <c r="G199" s="64">
        <f ca="1">RANK(Table1[[#This Row],[PVA]],Table1[PVA])</f>
        <v>193</v>
      </c>
      <c r="H199" s="44">
        <f ca="1">'Adj Data'!D193</f>
        <v>68</v>
      </c>
      <c r="I199" s="64">
        <f ca="1">RANK(Table1[[#This Row],[Sagarin]],Table1[Sagarin])</f>
        <v>215</v>
      </c>
      <c r="J199" s="44" t="str">
        <f ca="1">IFERROR(AVERAGE('Adj Data'!E193,'Adj Data'!F193),"")</f>
        <v/>
      </c>
      <c r="K199" s="64" t="str">
        <f ca="1">IFERROR(RANK(Table1[[#This Row],[Preseason]],Table1[Preseason]),"")</f>
        <v/>
      </c>
    </row>
    <row r="200" spans="1:11" x14ac:dyDescent="0.3">
      <c r="A200" s="64">
        <f ca="1">RANK(Table1[[#This Row],[Composite]],Table1[Composite])</f>
        <v>198</v>
      </c>
      <c r="B200" s="67" t="str">
        <f>'Adj Data'!A194</f>
        <v>Eastern Kentucky</v>
      </c>
      <c r="C200" s="44">
        <f ca="1">'Adj Data'!G194</f>
        <v>69.060202864609025</v>
      </c>
      <c r="D200" s="44">
        <f ca="1">'Adj Data'!B194</f>
        <v>69.240094208817766</v>
      </c>
      <c r="E200" s="64">
        <f ca="1">RANK(Table1[[#This Row],[Kenpom]],Table1[Kenpom])</f>
        <v>188</v>
      </c>
      <c r="F200" s="44">
        <f ca="1">'Adj Data'!C194</f>
        <v>68.800514385009294</v>
      </c>
      <c r="G200" s="64">
        <f ca="1">RANK(Table1[[#This Row],[PVA]],Table1[PVA])</f>
        <v>203</v>
      </c>
      <c r="H200" s="44">
        <f ca="1">'Adj Data'!D194</f>
        <v>69.14</v>
      </c>
      <c r="I200" s="64">
        <f ca="1">RANK(Table1[[#This Row],[Sagarin]],Table1[Sagarin])</f>
        <v>201</v>
      </c>
      <c r="J200" s="44" t="str">
        <f ca="1">IFERROR(AVERAGE('Adj Data'!E194,'Adj Data'!F194),"")</f>
        <v/>
      </c>
      <c r="K200" s="64" t="str">
        <f ca="1">IFERROR(RANK(Table1[[#This Row],[Preseason]],Table1[Preseason]),"")</f>
        <v/>
      </c>
    </row>
    <row r="201" spans="1:11" x14ac:dyDescent="0.3">
      <c r="A201" s="64">
        <f ca="1">RANK(Table1[[#This Row],[Composite]],Table1[Composite])</f>
        <v>197</v>
      </c>
      <c r="B201" s="67" t="str">
        <f>'Adj Data'!A190</f>
        <v>Eastern Washington</v>
      </c>
      <c r="C201" s="44">
        <f ca="1">'Adj Data'!G190</f>
        <v>69.160516638249305</v>
      </c>
      <c r="D201" s="44">
        <f ca="1">'Adj Data'!B190</f>
        <v>69.232550745211142</v>
      </c>
      <c r="E201" s="64">
        <f ca="1">RANK(Table1[[#This Row],[Kenpom]],Table1[Kenpom])</f>
        <v>189</v>
      </c>
      <c r="F201" s="44">
        <f ca="1">'Adj Data'!C190</f>
        <v>69.058999169536776</v>
      </c>
      <c r="G201" s="64">
        <f ca="1">RANK(Table1[[#This Row],[PVA]],Table1[PVA])</f>
        <v>198</v>
      </c>
      <c r="H201" s="44">
        <f ca="1">'Adj Data'!D190</f>
        <v>69.19</v>
      </c>
      <c r="I201" s="64">
        <f ca="1">RANK(Table1[[#This Row],[Sagarin]],Table1[Sagarin])</f>
        <v>199</v>
      </c>
      <c r="J201" s="44" t="str">
        <f ca="1">IFERROR(AVERAGE('Adj Data'!E190,'Adj Data'!F190),"")</f>
        <v/>
      </c>
      <c r="K201" s="64" t="str">
        <f ca="1">IFERROR(RANK(Table1[[#This Row],[Preseason]],Table1[Preseason]),"")</f>
        <v/>
      </c>
    </row>
    <row r="202" spans="1:11" x14ac:dyDescent="0.3">
      <c r="A202" s="64">
        <f ca="1">RANK(Table1[[#This Row],[Composite]],Table1[Composite])</f>
        <v>203</v>
      </c>
      <c r="B202" s="67" t="str">
        <f>'Adj Data'!A211</f>
        <v>George Mason</v>
      </c>
      <c r="C202" s="44">
        <f ca="1">'Adj Data'!G211</f>
        <v>68.701701283665358</v>
      </c>
      <c r="D202" s="44">
        <f ca="1">'Adj Data'!B211</f>
        <v>67.765347073723049</v>
      </c>
      <c r="E202" s="64">
        <f ca="1">RANK(Table1[[#This Row],[Kenpom]],Table1[Kenpom])</f>
        <v>209</v>
      </c>
      <c r="F202" s="44">
        <f ca="1">'Adj Data'!C211</f>
        <v>68.929756777273042</v>
      </c>
      <c r="G202" s="64">
        <f ca="1">RANK(Table1[[#This Row],[PVA]],Table1[PVA])</f>
        <v>201</v>
      </c>
      <c r="H202" s="44">
        <f ca="1">'Adj Data'!D211</f>
        <v>69.41</v>
      </c>
      <c r="I202" s="64">
        <f ca="1">RANK(Table1[[#This Row],[Sagarin]],Table1[Sagarin])</f>
        <v>196</v>
      </c>
      <c r="J202" s="44" t="str">
        <f ca="1">IFERROR(AVERAGE('Adj Data'!E211,'Adj Data'!F211),"")</f>
        <v/>
      </c>
      <c r="K202" s="64" t="str">
        <f ca="1">IFERROR(RANK(Table1[[#This Row],[Preseason]],Table1[Preseason]),"")</f>
        <v/>
      </c>
    </row>
    <row r="203" spans="1:11" x14ac:dyDescent="0.3">
      <c r="A203" s="64">
        <f ca="1">RANK(Table1[[#This Row],[Composite]],Table1[Composite])</f>
        <v>204</v>
      </c>
      <c r="B203" s="67" t="str">
        <f>'Adj Data'!A225</f>
        <v>Tulane</v>
      </c>
      <c r="C203" s="44">
        <f ca="1">'Adj Data'!G225</f>
        <v>68.648283588451321</v>
      </c>
      <c r="D203" s="44">
        <f ca="1">'Adj Data'!B225</f>
        <v>67.116609203553494</v>
      </c>
      <c r="E203" s="64">
        <f ca="1">RANK(Table1[[#This Row],[Kenpom]],Table1[Kenpom])</f>
        <v>220</v>
      </c>
      <c r="F203" s="44">
        <f ca="1">'Adj Data'!C225</f>
        <v>69.18824156180051</v>
      </c>
      <c r="G203" s="64">
        <f ca="1">RANK(Table1[[#This Row],[PVA]],Table1[PVA])</f>
        <v>193</v>
      </c>
      <c r="H203" s="44">
        <f ca="1">'Adj Data'!D225</f>
        <v>69.64</v>
      </c>
      <c r="I203" s="64">
        <f ca="1">RANK(Table1[[#This Row],[Sagarin]],Table1[Sagarin])</f>
        <v>193</v>
      </c>
      <c r="J203" s="44" t="str">
        <f ca="1">IFERROR(AVERAGE('Adj Data'!E225,'Adj Data'!F225),"")</f>
        <v/>
      </c>
      <c r="K203" s="64" t="str">
        <f ca="1">IFERROR(RANK(Table1[[#This Row],[Preseason]],Table1[Preseason]),"")</f>
        <v/>
      </c>
    </row>
    <row r="204" spans="1:11" x14ac:dyDescent="0.3">
      <c r="A204" s="64">
        <f ca="1">RANK(Table1[[#This Row],[Composite]],Table1[Composite])</f>
        <v>202</v>
      </c>
      <c r="B204" s="67" t="str">
        <f>'Adj Data'!A208</f>
        <v>Navy</v>
      </c>
      <c r="C204" s="44">
        <f ca="1">'Adj Data'!G208</f>
        <v>68.742551022858905</v>
      </c>
      <c r="D204" s="44">
        <f ca="1">'Adj Data'!B208</f>
        <v>68.727138683567432</v>
      </c>
      <c r="E204" s="64">
        <f ca="1">RANK(Table1[[#This Row],[Kenpom]],Table1[Kenpom])</f>
        <v>197</v>
      </c>
      <c r="F204" s="44">
        <f ca="1">'Adj Data'!C208</f>
        <v>68.800514385009294</v>
      </c>
      <c r="G204" s="64">
        <f ca="1">RANK(Table1[[#This Row],[PVA]],Table1[PVA])</f>
        <v>203</v>
      </c>
      <c r="H204" s="44">
        <f ca="1">'Adj Data'!D208</f>
        <v>68.7</v>
      </c>
      <c r="I204" s="64">
        <f ca="1">RANK(Table1[[#This Row],[Sagarin]],Table1[Sagarin])</f>
        <v>207</v>
      </c>
      <c r="J204" s="44" t="str">
        <f ca="1">IFERROR(AVERAGE('Adj Data'!E208,'Adj Data'!F208),"")</f>
        <v/>
      </c>
      <c r="K204" s="64" t="str">
        <f ca="1">IFERROR(RANK(Table1[[#This Row],[Preseason]],Table1[Preseason]),"")</f>
        <v/>
      </c>
    </row>
    <row r="205" spans="1:11" x14ac:dyDescent="0.3">
      <c r="A205" s="64">
        <f ca="1">RANK(Table1[[#This Row],[Composite]],Table1[Composite])</f>
        <v>200</v>
      </c>
      <c r="B205" s="67" t="str">
        <f>'Adj Data'!A203</f>
        <v>North Dakota</v>
      </c>
      <c r="C205" s="44">
        <f ca="1">'Adj Data'!G203</f>
        <v>68.802134551470218</v>
      </c>
      <c r="D205" s="44">
        <f ca="1">'Adj Data'!B203</f>
        <v>68.983616446192599</v>
      </c>
      <c r="E205" s="64">
        <f ca="1">RANK(Table1[[#This Row],[Kenpom]],Table1[Kenpom])</f>
        <v>192</v>
      </c>
      <c r="F205" s="44">
        <f ca="1">'Adj Data'!C203</f>
        <v>68.412787208218077</v>
      </c>
      <c r="G205" s="64">
        <f ca="1">RANK(Table1[[#This Row],[PVA]],Table1[PVA])</f>
        <v>209</v>
      </c>
      <c r="H205" s="44">
        <f ca="1">'Adj Data'!D203</f>
        <v>69.010000000000005</v>
      </c>
      <c r="I205" s="64">
        <f ca="1">RANK(Table1[[#This Row],[Sagarin]],Table1[Sagarin])</f>
        <v>203</v>
      </c>
      <c r="J205" s="44" t="str">
        <f ca="1">IFERROR(AVERAGE('Adj Data'!E203,'Adj Data'!F203),"")</f>
        <v/>
      </c>
      <c r="K205" s="64" t="str">
        <f ca="1">IFERROR(RANK(Table1[[#This Row],[Preseason]],Table1[Preseason]),"")</f>
        <v/>
      </c>
    </row>
    <row r="206" spans="1:11" x14ac:dyDescent="0.3">
      <c r="A206" s="64">
        <f ca="1">RANK(Table1[[#This Row],[Composite]],Table1[Composite])</f>
        <v>205</v>
      </c>
      <c r="B206" s="67" t="str">
        <f>'Adj Data'!A216</f>
        <v>Portland</v>
      </c>
      <c r="C206" s="44">
        <f ca="1">'Adj Data'!G216</f>
        <v>68.553976196055643</v>
      </c>
      <c r="D206" s="44">
        <f ca="1">'Adj Data'!B216</f>
        <v>67.33914137994887</v>
      </c>
      <c r="E206" s="64">
        <f ca="1">RANK(Table1[[#This Row],[Kenpom]],Table1[Kenpom])</f>
        <v>216</v>
      </c>
      <c r="F206" s="44">
        <f ca="1">'Adj Data'!C216</f>
        <v>68.412787208218077</v>
      </c>
      <c r="G206" s="64">
        <f ca="1">RANK(Table1[[#This Row],[PVA]],Table1[PVA])</f>
        <v>209</v>
      </c>
      <c r="H206" s="44">
        <f ca="1">'Adj Data'!D216</f>
        <v>69.91</v>
      </c>
      <c r="I206" s="64">
        <f ca="1">RANK(Table1[[#This Row],[Sagarin]],Table1[Sagarin])</f>
        <v>188</v>
      </c>
      <c r="J206" s="44" t="str">
        <f ca="1">IFERROR(AVERAGE('Adj Data'!E216,'Adj Data'!F216),"")</f>
        <v/>
      </c>
      <c r="K206" s="64" t="str">
        <f ca="1">IFERROR(RANK(Table1[[#This Row],[Preseason]],Table1[Preseason]),"")</f>
        <v/>
      </c>
    </row>
    <row r="207" spans="1:11" x14ac:dyDescent="0.3">
      <c r="A207" s="64">
        <f ca="1">RANK(Table1[[#This Row],[Composite]],Table1[Composite])</f>
        <v>207</v>
      </c>
      <c r="B207" s="67" t="str">
        <f>'Adj Data'!A209</f>
        <v>Cal Poly</v>
      </c>
      <c r="C207" s="44">
        <f ca="1">'Adj Data'!G209</f>
        <v>68.479514726941474</v>
      </c>
      <c r="D207" s="44">
        <f ca="1">'Adj Data'!B209</f>
        <v>67.704999364870062</v>
      </c>
      <c r="E207" s="64">
        <f ca="1">RANK(Table1[[#This Row],[Kenpom]],Table1[Kenpom])</f>
        <v>210</v>
      </c>
      <c r="F207" s="44">
        <f ca="1">'Adj Data'!C209</f>
        <v>68.283544815954343</v>
      </c>
      <c r="G207" s="64">
        <f ca="1">RANK(Table1[[#This Row],[PVA]],Table1[PVA])</f>
        <v>212</v>
      </c>
      <c r="H207" s="44">
        <f ca="1">'Adj Data'!D209</f>
        <v>69.45</v>
      </c>
      <c r="I207" s="64">
        <f ca="1">RANK(Table1[[#This Row],[Sagarin]],Table1[Sagarin])</f>
        <v>195</v>
      </c>
      <c r="J207" s="44" t="str">
        <f ca="1">IFERROR(AVERAGE('Adj Data'!E209,'Adj Data'!F209),"")</f>
        <v/>
      </c>
      <c r="K207" s="64" t="str">
        <f ca="1">IFERROR(RANK(Table1[[#This Row],[Preseason]],Table1[Preseason]),"")</f>
        <v/>
      </c>
    </row>
    <row r="208" spans="1:11" x14ac:dyDescent="0.3">
      <c r="A208" s="64">
        <f ca="1">RANK(Table1[[#This Row],[Composite]],Table1[Composite])</f>
        <v>213</v>
      </c>
      <c r="B208" s="67" t="str">
        <f>'Adj Data'!A207</f>
        <v>St Peter's</v>
      </c>
      <c r="C208" s="44">
        <f ca="1">'Adj Data'!G207</f>
        <v>67.885114250786387</v>
      </c>
      <c r="D208" s="44">
        <f ca="1">'Adj Data'!B207</f>
        <v>67.320282720932312</v>
      </c>
      <c r="E208" s="64">
        <f ca="1">RANK(Table1[[#This Row],[Kenpom]],Table1[Kenpom])</f>
        <v>217</v>
      </c>
      <c r="F208" s="44">
        <f ca="1">'Adj Data'!C207</f>
        <v>68.025060031426861</v>
      </c>
      <c r="G208" s="64">
        <f ca="1">RANK(Table1[[#This Row],[PVA]],Table1[PVA])</f>
        <v>216</v>
      </c>
      <c r="H208" s="44">
        <f ca="1">'Adj Data'!D207</f>
        <v>68.31</v>
      </c>
      <c r="I208" s="64">
        <f ca="1">RANK(Table1[[#This Row],[Sagarin]],Table1[Sagarin])</f>
        <v>213</v>
      </c>
      <c r="J208" s="44" t="str">
        <f ca="1">IFERROR(AVERAGE('Adj Data'!E207,'Adj Data'!F207),"")</f>
        <v/>
      </c>
      <c r="K208" s="64" t="str">
        <f ca="1">IFERROR(RANK(Table1[[#This Row],[Preseason]],Table1[Preseason]),"")</f>
        <v/>
      </c>
    </row>
    <row r="209" spans="1:11" x14ac:dyDescent="0.3">
      <c r="A209" s="64">
        <f ca="1">RANK(Table1[[#This Row],[Composite]],Table1[Composite])</f>
        <v>206</v>
      </c>
      <c r="B209" s="67" t="str">
        <f>'Adj Data'!A195</f>
        <v>NJIT</v>
      </c>
      <c r="C209" s="44">
        <f ca="1">'Adj Data'!G195</f>
        <v>68.518326490311836</v>
      </c>
      <c r="D209" s="44">
        <f ca="1">'Adj Data'!B195</f>
        <v>68.006737909134969</v>
      </c>
      <c r="E209" s="64">
        <f ca="1">RANK(Table1[[#This Row],[Kenpom]],Table1[Kenpom])</f>
        <v>204</v>
      </c>
      <c r="F209" s="44">
        <f ca="1">'Adj Data'!C195</f>
        <v>69.18824156180051</v>
      </c>
      <c r="G209" s="64">
        <f ca="1">RANK(Table1[[#This Row],[PVA]],Table1[PVA])</f>
        <v>193</v>
      </c>
      <c r="H209" s="44">
        <f ca="1">'Adj Data'!D195</f>
        <v>68.36</v>
      </c>
      <c r="I209" s="64">
        <f ca="1">RANK(Table1[[#This Row],[Sagarin]],Table1[Sagarin])</f>
        <v>212</v>
      </c>
      <c r="J209" s="44" t="str">
        <f ca="1">IFERROR(AVERAGE('Adj Data'!E195,'Adj Data'!F195),"")</f>
        <v/>
      </c>
      <c r="K209" s="64" t="str">
        <f ca="1">IFERROR(RANK(Table1[[#This Row],[Preseason]],Table1[Preseason]),"")</f>
        <v/>
      </c>
    </row>
    <row r="210" spans="1:11" x14ac:dyDescent="0.3">
      <c r="A210" s="64">
        <f ca="1">RANK(Table1[[#This Row],[Composite]],Table1[Composite])</f>
        <v>208</v>
      </c>
      <c r="B210" s="67" t="str">
        <f>'Adj Data'!A234</f>
        <v>Texas State</v>
      </c>
      <c r="C210" s="44">
        <f ca="1">'Adj Data'!G234</f>
        <v>68.41448719304401</v>
      </c>
      <c r="D210" s="44">
        <f ca="1">'Adj Data'!B234</f>
        <v>68.82143197865021</v>
      </c>
      <c r="E210" s="64">
        <f ca="1">RANK(Table1[[#This Row],[Kenpom]],Table1[Kenpom])</f>
        <v>194</v>
      </c>
      <c r="F210" s="44">
        <f ca="1">'Adj Data'!C234</f>
        <v>68.542029600481811</v>
      </c>
      <c r="G210" s="64">
        <f ca="1">RANK(Table1[[#This Row],[PVA]],Table1[PVA])</f>
        <v>206</v>
      </c>
      <c r="H210" s="44">
        <f ca="1">'Adj Data'!D234</f>
        <v>67.88</v>
      </c>
      <c r="I210" s="64">
        <f ca="1">RANK(Table1[[#This Row],[Sagarin]],Table1[Sagarin])</f>
        <v>216</v>
      </c>
      <c r="J210" s="44" t="str">
        <f ca="1">IFERROR(AVERAGE('Adj Data'!E234,'Adj Data'!F234),"")</f>
        <v/>
      </c>
      <c r="K210" s="64" t="str">
        <f ca="1">IFERROR(RANK(Table1[[#This Row],[Preseason]],Table1[Preseason]),"")</f>
        <v/>
      </c>
    </row>
    <row r="211" spans="1:11" x14ac:dyDescent="0.3">
      <c r="A211" s="64">
        <f ca="1">RANK(Table1[[#This Row],[Composite]],Table1[Composite])</f>
        <v>211</v>
      </c>
      <c r="B211" s="67" t="str">
        <f>'Adj Data'!A215</f>
        <v>Idaho</v>
      </c>
      <c r="C211" s="44">
        <f ca="1">'Adj Data'!G215</f>
        <v>67.994419077849514</v>
      </c>
      <c r="D211" s="44">
        <f ca="1">'Adj Data'!B215</f>
        <v>67.70122763306675</v>
      </c>
      <c r="E211" s="64">
        <f ca="1">RANK(Table1[[#This Row],[Kenpom]],Table1[Kenpom])</f>
        <v>211</v>
      </c>
      <c r="F211" s="44">
        <f ca="1">'Adj Data'!C215</f>
        <v>68.542029600481811</v>
      </c>
      <c r="G211" s="64">
        <f ca="1">RANK(Table1[[#This Row],[PVA]],Table1[PVA])</f>
        <v>206</v>
      </c>
      <c r="H211" s="44">
        <f ca="1">'Adj Data'!D215</f>
        <v>67.739999999999995</v>
      </c>
      <c r="I211" s="64">
        <f ca="1">RANK(Table1[[#This Row],[Sagarin]],Table1[Sagarin])</f>
        <v>220</v>
      </c>
      <c r="J211" s="44" t="str">
        <f ca="1">IFERROR(AVERAGE('Adj Data'!E215,'Adj Data'!F215),"")</f>
        <v/>
      </c>
      <c r="K211" s="64" t="str">
        <f ca="1">IFERROR(RANK(Table1[[#This Row],[Preseason]],Table1[Preseason]),"")</f>
        <v/>
      </c>
    </row>
    <row r="212" spans="1:11" x14ac:dyDescent="0.3">
      <c r="A212" s="64">
        <f ca="1">RANK(Table1[[#This Row],[Composite]],Table1[Composite])</f>
        <v>210</v>
      </c>
      <c r="B212" s="67" t="str">
        <f>'Adj Data'!A232</f>
        <v>UTEP</v>
      </c>
      <c r="C212" s="44">
        <f ca="1">'Adj Data'!G232</f>
        <v>68.126941090525904</v>
      </c>
      <c r="D212" s="44">
        <f ca="1">'Adj Data'!B232</f>
        <v>67.278793671095883</v>
      </c>
      <c r="E212" s="64">
        <f ca="1">RANK(Table1[[#This Row],[Kenpom]],Table1[Kenpom])</f>
        <v>218</v>
      </c>
      <c r="F212" s="44">
        <f ca="1">'Adj Data'!C232</f>
        <v>68.542029600481811</v>
      </c>
      <c r="G212" s="64">
        <f ca="1">RANK(Table1[[#This Row],[PVA]],Table1[PVA])</f>
        <v>206</v>
      </c>
      <c r="H212" s="44">
        <f ca="1">'Adj Data'!D232</f>
        <v>68.56</v>
      </c>
      <c r="I212" s="64">
        <f ca="1">RANK(Table1[[#This Row],[Sagarin]],Table1[Sagarin])</f>
        <v>210</v>
      </c>
      <c r="J212" s="44" t="str">
        <f ca="1">IFERROR(AVERAGE('Adj Data'!E232,'Adj Data'!F232),"")</f>
        <v/>
      </c>
      <c r="K212" s="64" t="str">
        <f ca="1">IFERROR(RANK(Table1[[#This Row],[Preseason]],Table1[Preseason]),"")</f>
        <v/>
      </c>
    </row>
    <row r="213" spans="1:11" x14ac:dyDescent="0.3">
      <c r="A213" s="64">
        <f ca="1">RANK(Table1[[#This Row],[Composite]],Table1[Composite])</f>
        <v>217</v>
      </c>
      <c r="B213" s="67" t="str">
        <f>'Adj Data'!A204</f>
        <v>Rider</v>
      </c>
      <c r="C213" s="44">
        <f ca="1">'Adj Data'!G204</f>
        <v>67.651138075788381</v>
      </c>
      <c r="D213" s="44">
        <f ca="1">'Adj Data'!B204</f>
        <v>67.452293334048207</v>
      </c>
      <c r="E213" s="64">
        <f ca="1">RANK(Table1[[#This Row],[Kenpom]],Table1[Kenpom])</f>
        <v>215</v>
      </c>
      <c r="F213" s="44">
        <f ca="1">'Adj Data'!C204</f>
        <v>66.991120893316946</v>
      </c>
      <c r="G213" s="64">
        <f ca="1">RANK(Table1[[#This Row],[PVA]],Table1[PVA])</f>
        <v>236</v>
      </c>
      <c r="H213" s="44">
        <f ca="1">'Adj Data'!D204</f>
        <v>68.510000000000005</v>
      </c>
      <c r="I213" s="64">
        <f ca="1">RANK(Table1[[#This Row],[Sagarin]],Table1[Sagarin])</f>
        <v>211</v>
      </c>
      <c r="J213" s="44" t="str">
        <f ca="1">IFERROR(AVERAGE('Adj Data'!E204,'Adj Data'!F204),"")</f>
        <v/>
      </c>
      <c r="K213" s="64" t="str">
        <f ca="1">IFERROR(RANK(Table1[[#This Row],[Preseason]],Table1[Preseason]),"")</f>
        <v/>
      </c>
    </row>
    <row r="214" spans="1:11" x14ac:dyDescent="0.3">
      <c r="A214" s="64">
        <f ca="1">RANK(Table1[[#This Row],[Composite]],Table1[Composite])</f>
        <v>209</v>
      </c>
      <c r="B214" s="67" t="str">
        <f>'Adj Data'!A218</f>
        <v>UT Martin</v>
      </c>
      <c r="C214" s="44">
        <f ca="1">'Adj Data'!G218</f>
        <v>68.267402857917475</v>
      </c>
      <c r="D214" s="44">
        <f ca="1">'Adj Data'!B218</f>
        <v>68.689421365534315</v>
      </c>
      <c r="E214" s="64">
        <f ca="1">RANK(Table1[[#This Row],[Kenpom]],Table1[Kenpom])</f>
        <v>198</v>
      </c>
      <c r="F214" s="44">
        <f ca="1">'Adj Data'!C218</f>
        <v>68.412787208218077</v>
      </c>
      <c r="G214" s="64">
        <f ca="1">RANK(Table1[[#This Row],[PVA]],Table1[PVA])</f>
        <v>209</v>
      </c>
      <c r="H214" s="44">
        <f ca="1">'Adj Data'!D218</f>
        <v>67.7</v>
      </c>
      <c r="I214" s="64">
        <f ca="1">RANK(Table1[[#This Row],[Sagarin]],Table1[Sagarin])</f>
        <v>222</v>
      </c>
      <c r="J214" s="44" t="str">
        <f ca="1">IFERROR(AVERAGE('Adj Data'!E218,'Adj Data'!F218),"")</f>
        <v/>
      </c>
      <c r="K214" s="64" t="str">
        <f ca="1">IFERROR(RANK(Table1[[#This Row],[Preseason]],Table1[Preseason]),"")</f>
        <v/>
      </c>
    </row>
    <row r="215" spans="1:11" x14ac:dyDescent="0.3">
      <c r="A215" s="64">
        <f ca="1">RANK(Table1[[#This Row],[Composite]],Table1[Composite])</f>
        <v>219</v>
      </c>
      <c r="B215" s="67" t="str">
        <f>'Adj Data'!A217</f>
        <v>Radford</v>
      </c>
      <c r="C215" s="44">
        <f ca="1">'Adj Data'!G217</f>
        <v>67.616752833825629</v>
      </c>
      <c r="D215" s="44">
        <f ca="1">'Adj Data'!B217</f>
        <v>66.490501724203824</v>
      </c>
      <c r="E215" s="64">
        <f ca="1">RANK(Table1[[#This Row],[Kenpom]],Table1[Kenpom])</f>
        <v>230</v>
      </c>
      <c r="F215" s="44">
        <f ca="1">'Adj Data'!C217</f>
        <v>68.929756777273042</v>
      </c>
      <c r="G215" s="64">
        <f ca="1">RANK(Table1[[#This Row],[PVA]],Table1[PVA])</f>
        <v>201</v>
      </c>
      <c r="H215" s="44">
        <f ca="1">'Adj Data'!D217</f>
        <v>67.430000000000007</v>
      </c>
      <c r="I215" s="64">
        <f ca="1">RANK(Table1[[#This Row],[Sagarin]],Table1[Sagarin])</f>
        <v>227</v>
      </c>
      <c r="J215" s="44" t="str">
        <f ca="1">IFERROR(AVERAGE('Adj Data'!E217,'Adj Data'!F217),"")</f>
        <v/>
      </c>
      <c r="K215" s="64" t="str">
        <f ca="1">IFERROR(RANK(Table1[[#This Row],[Preseason]],Table1[Preseason]),"")</f>
        <v/>
      </c>
    </row>
    <row r="216" spans="1:11" x14ac:dyDescent="0.3">
      <c r="A216" s="64">
        <f ca="1">RANK(Table1[[#This Row],[Composite]],Table1[Composite])</f>
        <v>214</v>
      </c>
      <c r="B216" s="67" t="str">
        <f>'Adj Data'!A231</f>
        <v>Loyola Marymount</v>
      </c>
      <c r="C216" s="44">
        <f ca="1">'Adj Data'!G231</f>
        <v>67.783090432467887</v>
      </c>
      <c r="D216" s="44">
        <f ca="1">'Adj Data'!B231</f>
        <v>66.614968873713096</v>
      </c>
      <c r="E216" s="64">
        <f ca="1">RANK(Table1[[#This Row],[Kenpom]],Table1[Kenpom])</f>
        <v>226</v>
      </c>
      <c r="F216" s="44">
        <f ca="1">'Adj Data'!C231</f>
        <v>68.154302423690595</v>
      </c>
      <c r="G216" s="64">
        <f ca="1">RANK(Table1[[#This Row],[PVA]],Table1[PVA])</f>
        <v>214</v>
      </c>
      <c r="H216" s="44">
        <f ca="1">'Adj Data'!D231</f>
        <v>68.58</v>
      </c>
      <c r="I216" s="64">
        <f ca="1">RANK(Table1[[#This Row],[Sagarin]],Table1[Sagarin])</f>
        <v>209</v>
      </c>
      <c r="J216" s="44" t="str">
        <f ca="1">IFERROR(AVERAGE('Adj Data'!E231,'Adj Data'!F231),"")</f>
        <v/>
      </c>
      <c r="K216" s="64" t="str">
        <f ca="1">IFERROR(RANK(Table1[[#This Row],[Preseason]],Table1[Preseason]),"")</f>
        <v/>
      </c>
    </row>
    <row r="217" spans="1:11" x14ac:dyDescent="0.3">
      <c r="A217" s="64">
        <f ca="1">RANK(Table1[[#This Row],[Composite]],Table1[Composite])</f>
        <v>212</v>
      </c>
      <c r="B217" s="67" t="str">
        <f>'Adj Data'!A202</f>
        <v>Georgia Southern</v>
      </c>
      <c r="C217" s="44">
        <f ca="1">'Adj Data'!G202</f>
        <v>67.9486874645592</v>
      </c>
      <c r="D217" s="44">
        <f ca="1">'Adj Data'!B202</f>
        <v>68.957214323569417</v>
      </c>
      <c r="E217" s="64">
        <f ca="1">RANK(Table1[[#This Row],[Kenpom]],Table1[Kenpom])</f>
        <v>193</v>
      </c>
      <c r="F217" s="44">
        <f ca="1">'Adj Data'!C202</f>
        <v>67.378848070108162</v>
      </c>
      <c r="G217" s="64">
        <f ca="1">RANK(Table1[[#This Row],[PVA]],Table1[PVA])</f>
        <v>227</v>
      </c>
      <c r="H217" s="44">
        <f ca="1">'Adj Data'!D202</f>
        <v>67.510000000000005</v>
      </c>
      <c r="I217" s="64">
        <f ca="1">RANK(Table1[[#This Row],[Sagarin]],Table1[Sagarin])</f>
        <v>226</v>
      </c>
      <c r="J217" s="44" t="str">
        <f ca="1">IFERROR(AVERAGE('Adj Data'!E202,'Adj Data'!F202),"")</f>
        <v/>
      </c>
      <c r="K217" s="64" t="str">
        <f ca="1">IFERROR(RANK(Table1[[#This Row],[Preseason]],Table1[Preseason]),"")</f>
        <v/>
      </c>
    </row>
    <row r="218" spans="1:11" x14ac:dyDescent="0.3">
      <c r="A218" s="64">
        <f ca="1">RANK(Table1[[#This Row],[Composite]],Table1[Composite])</f>
        <v>215</v>
      </c>
      <c r="B218" s="67" t="str">
        <f>'Adj Data'!A198</f>
        <v>Sam Houston</v>
      </c>
      <c r="C218" s="44">
        <f ca="1">'Adj Data'!G198</f>
        <v>67.765185407464472</v>
      </c>
      <c r="D218" s="44">
        <f ca="1">'Adj Data'!B198</f>
        <v>67.659738583230336</v>
      </c>
      <c r="E218" s="64">
        <f ca="1">RANK(Table1[[#This Row],[Kenpom]],Table1[Kenpom])</f>
        <v>212</v>
      </c>
      <c r="F218" s="44">
        <f ca="1">'Adj Data'!C198</f>
        <v>67.895817639163113</v>
      </c>
      <c r="G218" s="64">
        <f ca="1">RANK(Table1[[#This Row],[PVA]],Table1[PVA])</f>
        <v>220</v>
      </c>
      <c r="H218" s="44">
        <f ca="1">'Adj Data'!D198</f>
        <v>67.739999999999995</v>
      </c>
      <c r="I218" s="64">
        <f ca="1">RANK(Table1[[#This Row],[Sagarin]],Table1[Sagarin])</f>
        <v>220</v>
      </c>
      <c r="J218" s="44" t="str">
        <f ca="1">IFERROR(AVERAGE('Adj Data'!E198,'Adj Data'!F198),"")</f>
        <v/>
      </c>
      <c r="K218" s="64" t="str">
        <f ca="1">IFERROR(RANK(Table1[[#This Row],[Preseason]],Table1[Preseason]),"")</f>
        <v/>
      </c>
    </row>
    <row r="219" spans="1:11" x14ac:dyDescent="0.3">
      <c r="A219" s="64">
        <f ca="1">RANK(Table1[[#This Row],[Composite]],Table1[Composite])</f>
        <v>220</v>
      </c>
      <c r="B219" s="67" t="str">
        <f>'Adj Data'!A201</f>
        <v>IUPUI</v>
      </c>
      <c r="C219" s="44">
        <f ca="1">'Adj Data'!G201</f>
        <v>67.564884839026789</v>
      </c>
      <c r="D219" s="44">
        <f ca="1">'Adj Data'!B201</f>
        <v>67.976564054708476</v>
      </c>
      <c r="E219" s="64">
        <f ca="1">RANK(Table1[[#This Row],[Kenpom]],Table1[Kenpom])</f>
        <v>205</v>
      </c>
      <c r="F219" s="44">
        <f ca="1">'Adj Data'!C201</f>
        <v>67.508090462371896</v>
      </c>
      <c r="G219" s="64">
        <f ca="1">RANK(Table1[[#This Row],[PVA]],Table1[PVA])</f>
        <v>223</v>
      </c>
      <c r="H219" s="44">
        <f ca="1">'Adj Data'!D201</f>
        <v>67.209999999999994</v>
      </c>
      <c r="I219" s="64">
        <f ca="1">RANK(Table1[[#This Row],[Sagarin]],Table1[Sagarin])</f>
        <v>231</v>
      </c>
      <c r="J219" s="44" t="str">
        <f ca="1">IFERROR(AVERAGE('Adj Data'!E201,'Adj Data'!F201),"")</f>
        <v/>
      </c>
      <c r="K219" s="64" t="str">
        <f ca="1">IFERROR(RANK(Table1[[#This Row],[Preseason]],Table1[Preseason]),"")</f>
        <v/>
      </c>
    </row>
    <row r="220" spans="1:11" x14ac:dyDescent="0.3">
      <c r="A220" s="64">
        <f ca="1">RANK(Table1[[#This Row],[Composite]],Table1[Composite])</f>
        <v>216</v>
      </c>
      <c r="B220" s="67" t="str">
        <f>'Adj Data'!A228</f>
        <v>St John's</v>
      </c>
      <c r="C220" s="44">
        <f ca="1">'Adj Data'!G228</f>
        <v>67.661356371526892</v>
      </c>
      <c r="D220" s="44">
        <f ca="1">'Adj Data'!B228</f>
        <v>66.060524298626333</v>
      </c>
      <c r="E220" s="64">
        <f ca="1">RANK(Table1[[#This Row],[Kenpom]],Table1[Kenpom])</f>
        <v>235</v>
      </c>
      <c r="F220" s="44">
        <f ca="1">'Adj Data'!C228</f>
        <v>68.283544815954343</v>
      </c>
      <c r="G220" s="64">
        <f ca="1">RANK(Table1[[#This Row],[PVA]],Table1[PVA])</f>
        <v>212</v>
      </c>
      <c r="H220" s="44">
        <f ca="1">'Adj Data'!D228</f>
        <v>68.64</v>
      </c>
      <c r="I220" s="64">
        <f ca="1">RANK(Table1[[#This Row],[Sagarin]],Table1[Sagarin])</f>
        <v>208</v>
      </c>
      <c r="J220" s="44" t="str">
        <f ca="1">IFERROR(AVERAGE('Adj Data'!E228,'Adj Data'!F228),"")</f>
        <v/>
      </c>
      <c r="K220" s="64" t="str">
        <f ca="1">IFERROR(RANK(Table1[[#This Row],[Preseason]],Table1[Preseason]),"")</f>
        <v/>
      </c>
    </row>
    <row r="221" spans="1:11" x14ac:dyDescent="0.3">
      <c r="A221" s="64">
        <f ca="1">RANK(Table1[[#This Row],[Composite]],Table1[Composite])</f>
        <v>222</v>
      </c>
      <c r="B221" s="67" t="str">
        <f>'Adj Data'!A213</f>
        <v>South Dakota</v>
      </c>
      <c r="C221" s="44">
        <f ca="1">'Adj Data'!G213</f>
        <v>67.391070205362993</v>
      </c>
      <c r="D221" s="44">
        <f ca="1">'Adj Data'!B213</f>
        <v>67.07512015371708</v>
      </c>
      <c r="E221" s="64">
        <f ca="1">RANK(Table1[[#This Row],[Kenpom]],Table1[Kenpom])</f>
        <v>221</v>
      </c>
      <c r="F221" s="44">
        <f ca="1">'Adj Data'!C213</f>
        <v>67.508090462371896</v>
      </c>
      <c r="G221" s="64">
        <f ca="1">RANK(Table1[[#This Row],[PVA]],Table1[PVA])</f>
        <v>223</v>
      </c>
      <c r="H221" s="44">
        <f ca="1">'Adj Data'!D213</f>
        <v>67.59</v>
      </c>
      <c r="I221" s="64">
        <f ca="1">RANK(Table1[[#This Row],[Sagarin]],Table1[Sagarin])</f>
        <v>225</v>
      </c>
      <c r="J221" s="44" t="str">
        <f ca="1">IFERROR(AVERAGE('Adj Data'!E213,'Adj Data'!F213),"")</f>
        <v/>
      </c>
      <c r="K221" s="64" t="str">
        <f ca="1">IFERROR(RANK(Table1[[#This Row],[Preseason]],Table1[Preseason]),"")</f>
        <v/>
      </c>
    </row>
    <row r="222" spans="1:11" x14ac:dyDescent="0.3">
      <c r="A222" s="64">
        <f ca="1">RANK(Table1[[#This Row],[Composite]],Table1[Composite])</f>
        <v>221</v>
      </c>
      <c r="B222" s="67" t="str">
        <f>'Adj Data'!A221</f>
        <v>Bowling Green</v>
      </c>
      <c r="C222" s="44">
        <f ca="1">'Adj Data'!G221</f>
        <v>67.39111071308109</v>
      </c>
      <c r="D222" s="44">
        <f ca="1">'Adj Data'!B221</f>
        <v>67.188272107816417</v>
      </c>
      <c r="E222" s="64">
        <f ca="1">RANK(Table1[[#This Row],[Kenpom]],Table1[Kenpom])</f>
        <v>219</v>
      </c>
      <c r="F222" s="44">
        <f ca="1">'Adj Data'!C221</f>
        <v>68.025060031426861</v>
      </c>
      <c r="G222" s="64">
        <f ca="1">RANK(Table1[[#This Row],[PVA]],Table1[PVA])</f>
        <v>216</v>
      </c>
      <c r="H222" s="44">
        <f ca="1">'Adj Data'!D221</f>
        <v>66.959999999999994</v>
      </c>
      <c r="I222" s="64">
        <f ca="1">RANK(Table1[[#This Row],[Sagarin]],Table1[Sagarin])</f>
        <v>233</v>
      </c>
      <c r="J222" s="44" t="str">
        <f ca="1">IFERROR(AVERAGE('Adj Data'!E221,'Adj Data'!F221),"")</f>
        <v/>
      </c>
      <c r="K222" s="64" t="str">
        <f ca="1">IFERROR(RANK(Table1[[#This Row],[Preseason]],Table1[Preseason]),"")</f>
        <v/>
      </c>
    </row>
    <row r="223" spans="1:11" x14ac:dyDescent="0.3">
      <c r="A223" s="64">
        <f ca="1">RANK(Table1[[#This Row],[Composite]],Table1[Composite])</f>
        <v>225</v>
      </c>
      <c r="B223" s="67" t="str">
        <f>'Adj Data'!A197</f>
        <v>UNC Greensboro</v>
      </c>
      <c r="C223" s="44">
        <f ca="1">'Adj Data'!G197</f>
        <v>67.176043623767626</v>
      </c>
      <c r="D223" s="44">
        <f ca="1">'Adj Data'!B197</f>
        <v>67.837009977985957</v>
      </c>
      <c r="E223" s="64">
        <f ca="1">RANK(Table1[[#This Row],[Kenpom]],Table1[Kenpom])</f>
        <v>208</v>
      </c>
      <c r="F223" s="44">
        <f ca="1">'Adj Data'!C197</f>
        <v>66.991120893316946</v>
      </c>
      <c r="G223" s="64">
        <f ca="1">RANK(Table1[[#This Row],[PVA]],Table1[PVA])</f>
        <v>236</v>
      </c>
      <c r="H223" s="44">
        <f ca="1">'Adj Data'!D197</f>
        <v>66.7</v>
      </c>
      <c r="I223" s="64">
        <f ca="1">RANK(Table1[[#This Row],[Sagarin]],Table1[Sagarin])</f>
        <v>237</v>
      </c>
      <c r="J223" s="44" t="str">
        <f ca="1">IFERROR(AVERAGE('Adj Data'!E197,'Adj Data'!F197),"")</f>
        <v/>
      </c>
      <c r="K223" s="64" t="str">
        <f ca="1">IFERROR(RANK(Table1[[#This Row],[Preseason]],Table1[Preseason]),"")</f>
        <v/>
      </c>
    </row>
    <row r="224" spans="1:11" x14ac:dyDescent="0.3">
      <c r="A224" s="64">
        <f ca="1">RANK(Table1[[#This Row],[Composite]],Table1[Composite])</f>
        <v>224</v>
      </c>
      <c r="B224" s="67" t="str">
        <f>'Adj Data'!A239</f>
        <v>Pacific</v>
      </c>
      <c r="C224" s="44">
        <f ca="1">'Adj Data'!G239</f>
        <v>67.345891146692466</v>
      </c>
      <c r="D224" s="44">
        <f ca="1">'Adj Data'!B239</f>
        <v>66.068067762232957</v>
      </c>
      <c r="E224" s="64">
        <f ca="1">RANK(Table1[[#This Row],[Kenpom]],Table1[Kenpom])</f>
        <v>234</v>
      </c>
      <c r="F224" s="44">
        <f ca="1">'Adj Data'!C239</f>
        <v>67.249605677844414</v>
      </c>
      <c r="G224" s="64">
        <f ca="1">RANK(Table1[[#This Row],[PVA]],Table1[PVA])</f>
        <v>229</v>
      </c>
      <c r="H224" s="44">
        <f ca="1">'Adj Data'!D239</f>
        <v>68.72</v>
      </c>
      <c r="I224" s="64">
        <f ca="1">RANK(Table1[[#This Row],[Sagarin]],Table1[Sagarin])</f>
        <v>206</v>
      </c>
      <c r="J224" s="44" t="str">
        <f ca="1">IFERROR(AVERAGE('Adj Data'!E239,'Adj Data'!F239),"")</f>
        <v/>
      </c>
      <c r="K224" s="64" t="str">
        <f ca="1">IFERROR(RANK(Table1[[#This Row],[Preseason]],Table1[Preseason]),"")</f>
        <v/>
      </c>
    </row>
    <row r="225" spans="1:11" x14ac:dyDescent="0.3">
      <c r="A225" s="64">
        <f ca="1">RANK(Table1[[#This Row],[Composite]],Table1[Composite])</f>
        <v>218</v>
      </c>
      <c r="B225" s="67" t="str">
        <f>'Adj Data'!A214</f>
        <v>Boston U</v>
      </c>
      <c r="C225" s="44">
        <f ca="1">'Adj Data'!G214</f>
        <v>67.617348900227668</v>
      </c>
      <c r="D225" s="44">
        <f ca="1">'Adj Data'!B214</f>
        <v>67.523956238311115</v>
      </c>
      <c r="E225" s="64">
        <f ca="1">RANK(Table1[[#This Row],[Kenpom]],Table1[Kenpom])</f>
        <v>214</v>
      </c>
      <c r="F225" s="44">
        <f ca="1">'Adj Data'!C214</f>
        <v>67.508090462371896</v>
      </c>
      <c r="G225" s="64">
        <f ca="1">RANK(Table1[[#This Row],[PVA]],Table1[PVA])</f>
        <v>223</v>
      </c>
      <c r="H225" s="44">
        <f ca="1">'Adj Data'!D214</f>
        <v>67.819999999999993</v>
      </c>
      <c r="I225" s="64">
        <f ca="1">RANK(Table1[[#This Row],[Sagarin]],Table1[Sagarin])</f>
        <v>218</v>
      </c>
      <c r="J225" s="44" t="str">
        <f ca="1">IFERROR(AVERAGE('Adj Data'!E214,'Adj Data'!F214),"")</f>
        <v/>
      </c>
      <c r="K225" s="64" t="str">
        <f ca="1">IFERROR(RANK(Table1[[#This Row],[Preseason]],Table1[Preseason]),"")</f>
        <v/>
      </c>
    </row>
    <row r="226" spans="1:11" x14ac:dyDescent="0.3">
      <c r="A226" s="64">
        <f ca="1">RANK(Table1[[#This Row],[Composite]],Table1[Composite])</f>
        <v>223</v>
      </c>
      <c r="B226" s="67" t="str">
        <f>'Adj Data'!A253</f>
        <v>Austin Peay</v>
      </c>
      <c r="C226" s="44">
        <f ca="1">'Adj Data'!G253</f>
        <v>67.369115699310186</v>
      </c>
      <c r="D226" s="44">
        <f ca="1">'Adj Data'!B253</f>
        <v>67.878499027822386</v>
      </c>
      <c r="E226" s="64">
        <f ca="1">RANK(Table1[[#This Row],[Kenpom]],Table1[Kenpom])</f>
        <v>206</v>
      </c>
      <c r="F226" s="44">
        <f ca="1">'Adj Data'!C253</f>
        <v>67.378848070108162</v>
      </c>
      <c r="G226" s="64">
        <f ca="1">RANK(Table1[[#This Row],[PVA]],Table1[PVA])</f>
        <v>227</v>
      </c>
      <c r="H226" s="44">
        <f ca="1">'Adj Data'!D253</f>
        <v>66.849999999999994</v>
      </c>
      <c r="I226" s="64">
        <f ca="1">RANK(Table1[[#This Row],[Sagarin]],Table1[Sagarin])</f>
        <v>235</v>
      </c>
      <c r="J226" s="44" t="str">
        <f ca="1">IFERROR(AVERAGE('Adj Data'!E253,'Adj Data'!F253),"")</f>
        <v/>
      </c>
      <c r="K226" s="64" t="str">
        <f ca="1">IFERROR(RANK(Table1[[#This Row],[Preseason]],Table1[Preseason]),"")</f>
        <v/>
      </c>
    </row>
    <row r="227" spans="1:11" x14ac:dyDescent="0.3">
      <c r="A227" s="64">
        <f ca="1">RANK(Table1[[#This Row],[Composite]],Table1[Composite])</f>
        <v>228</v>
      </c>
      <c r="B227" s="67" t="str">
        <f>'Adj Data'!A244</f>
        <v>Saint Louis</v>
      </c>
      <c r="C227" s="44">
        <f ca="1">'Adj Data'!G244</f>
        <v>67.121913714431471</v>
      </c>
      <c r="D227" s="44">
        <f ca="1">'Adj Data'!B244</f>
        <v>65.351438719603806</v>
      </c>
      <c r="E227" s="64">
        <f ca="1">RANK(Table1[[#This Row],[Kenpom]],Table1[Kenpom])</f>
        <v>246</v>
      </c>
      <c r="F227" s="44">
        <f ca="1">'Adj Data'!C244</f>
        <v>68.154302423690595</v>
      </c>
      <c r="G227" s="64">
        <f ca="1">RANK(Table1[[#This Row],[PVA]],Table1[PVA])</f>
        <v>214</v>
      </c>
      <c r="H227" s="44">
        <f ca="1">'Adj Data'!D244</f>
        <v>67.86</v>
      </c>
      <c r="I227" s="64">
        <f ca="1">RANK(Table1[[#This Row],[Sagarin]],Table1[Sagarin])</f>
        <v>217</v>
      </c>
      <c r="J227" s="44" t="str">
        <f ca="1">IFERROR(AVERAGE('Adj Data'!E244,'Adj Data'!F244),"")</f>
        <v/>
      </c>
      <c r="K227" s="64" t="str">
        <f ca="1">IFERROR(RANK(Table1[[#This Row],[Preseason]],Table1[Preseason]),"")</f>
        <v/>
      </c>
    </row>
    <row r="228" spans="1:11" x14ac:dyDescent="0.3">
      <c r="A228" s="64">
        <f ca="1">RANK(Table1[[#This Row],[Composite]],Table1[Composite])</f>
        <v>233</v>
      </c>
      <c r="B228" s="67" t="str">
        <f>'Adj Data'!A227</f>
        <v>Canisius</v>
      </c>
      <c r="C228" s="44">
        <f ca="1">'Adj Data'!G227</f>
        <v>66.929509754079376</v>
      </c>
      <c r="D228" s="44">
        <f ca="1">'Adj Data'!B227</f>
        <v>65.868165976657451</v>
      </c>
      <c r="E228" s="64">
        <f ca="1">RANK(Table1[[#This Row],[Kenpom]],Table1[Kenpom])</f>
        <v>239</v>
      </c>
      <c r="F228" s="44">
        <f ca="1">'Adj Data'!C227</f>
        <v>67.12036328558068</v>
      </c>
      <c r="G228" s="64">
        <f ca="1">RANK(Table1[[#This Row],[PVA]],Table1[PVA])</f>
        <v>232</v>
      </c>
      <c r="H228" s="44">
        <f ca="1">'Adj Data'!D227</f>
        <v>67.8</v>
      </c>
      <c r="I228" s="64">
        <f ca="1">RANK(Table1[[#This Row],[Sagarin]],Table1[Sagarin])</f>
        <v>219</v>
      </c>
      <c r="J228" s="44" t="str">
        <f ca="1">IFERROR(AVERAGE('Adj Data'!E227,'Adj Data'!F227),"")</f>
        <v/>
      </c>
      <c r="K228" s="64" t="str">
        <f ca="1">IFERROR(RANK(Table1[[#This Row],[Preseason]],Table1[Preseason]),"")</f>
        <v/>
      </c>
    </row>
    <row r="229" spans="1:11" x14ac:dyDescent="0.3">
      <c r="A229" s="64">
        <f ca="1">RANK(Table1[[#This Row],[Composite]],Table1[Composite])</f>
        <v>230</v>
      </c>
      <c r="B229" s="67" t="str">
        <f>'Adj Data'!A226</f>
        <v>Gardner-Webb</v>
      </c>
      <c r="C229" s="44">
        <f ca="1">'Adj Data'!G226</f>
        <v>67.007012002434905</v>
      </c>
      <c r="D229" s="44">
        <f ca="1">'Adj Data'!B226</f>
        <v>66.875218368141574</v>
      </c>
      <c r="E229" s="64">
        <f ca="1">RANK(Table1[[#This Row],[Kenpom]],Table1[Kenpom])</f>
        <v>222</v>
      </c>
      <c r="F229" s="44">
        <f ca="1">'Adj Data'!C226</f>
        <v>67.895817639163113</v>
      </c>
      <c r="G229" s="64">
        <f ca="1">RANK(Table1[[#This Row],[PVA]],Table1[PVA])</f>
        <v>220</v>
      </c>
      <c r="H229" s="44">
        <f ca="1">'Adj Data'!D226</f>
        <v>66.25</v>
      </c>
      <c r="I229" s="64">
        <f ca="1">RANK(Table1[[#This Row],[Sagarin]],Table1[Sagarin])</f>
        <v>248</v>
      </c>
      <c r="J229" s="44" t="str">
        <f ca="1">IFERROR(AVERAGE('Adj Data'!E226,'Adj Data'!F226),"")</f>
        <v/>
      </c>
      <c r="K229" s="64" t="str">
        <f ca="1">IFERROR(RANK(Table1[[#This Row],[Preseason]],Table1[Preseason]),"")</f>
        <v/>
      </c>
    </row>
    <row r="230" spans="1:11" x14ac:dyDescent="0.3">
      <c r="A230" s="64">
        <f ca="1">RANK(Table1[[#This Row],[Composite]],Table1[Composite])</f>
        <v>226</v>
      </c>
      <c r="B230" s="67" t="str">
        <f>'Adj Data'!A260</f>
        <v>Boston College</v>
      </c>
      <c r="C230" s="44">
        <f ca="1">'Adj Data'!G260</f>
        <v>67.167615936024788</v>
      </c>
      <c r="D230" s="44">
        <f ca="1">'Adj Data'!B260</f>
        <v>64.717787776647512</v>
      </c>
      <c r="E230" s="64">
        <f ca="1">RANK(Table1[[#This Row],[Kenpom]],Table1[Kenpom])</f>
        <v>259</v>
      </c>
      <c r="F230" s="44">
        <f ca="1">'Adj Data'!C260</f>
        <v>68.025060031426861</v>
      </c>
      <c r="G230" s="64">
        <f ca="1">RANK(Table1[[#This Row],[PVA]],Table1[PVA])</f>
        <v>216</v>
      </c>
      <c r="H230" s="44">
        <f ca="1">'Adj Data'!D260</f>
        <v>68.760000000000005</v>
      </c>
      <c r="I230" s="64">
        <f ca="1">RANK(Table1[[#This Row],[Sagarin]],Table1[Sagarin])</f>
        <v>205</v>
      </c>
      <c r="J230" s="44" t="str">
        <f ca="1">IFERROR(AVERAGE('Adj Data'!E260,'Adj Data'!F260),"")</f>
        <v/>
      </c>
      <c r="K230" s="64" t="str">
        <f ca="1">IFERROR(RANK(Table1[[#This Row],[Preseason]],Table1[Preseason]),"")</f>
        <v/>
      </c>
    </row>
    <row r="231" spans="1:11" x14ac:dyDescent="0.3">
      <c r="A231" s="64">
        <f ca="1">RANK(Table1[[#This Row],[Composite]],Table1[Composite])</f>
        <v>234</v>
      </c>
      <c r="B231" s="67" t="str">
        <f>'Adj Data'!A223</f>
        <v>Samford</v>
      </c>
      <c r="C231" s="44">
        <f ca="1">'Adj Data'!G223</f>
        <v>66.911997184201851</v>
      </c>
      <c r="D231" s="44">
        <f ca="1">'Adj Data'!B223</f>
        <v>66.814870659288601</v>
      </c>
      <c r="E231" s="64">
        <f ca="1">RANK(Table1[[#This Row],[Kenpom]],Table1[Kenpom])</f>
        <v>224</v>
      </c>
      <c r="F231" s="44">
        <f ca="1">'Adj Data'!C223</f>
        <v>66.991120893316946</v>
      </c>
      <c r="G231" s="64">
        <f ca="1">RANK(Table1[[#This Row],[PVA]],Table1[PVA])</f>
        <v>236</v>
      </c>
      <c r="H231" s="44">
        <f ca="1">'Adj Data'!D223</f>
        <v>66.930000000000007</v>
      </c>
      <c r="I231" s="64">
        <f ca="1">RANK(Table1[[#This Row],[Sagarin]],Table1[Sagarin])</f>
        <v>234</v>
      </c>
      <c r="J231" s="44" t="str">
        <f ca="1">IFERROR(AVERAGE('Adj Data'!E223,'Adj Data'!F223),"")</f>
        <v/>
      </c>
      <c r="K231" s="64" t="str">
        <f ca="1">IFERROR(RANK(Table1[[#This Row],[Preseason]],Table1[Preseason]),"")</f>
        <v/>
      </c>
    </row>
    <row r="232" spans="1:11" x14ac:dyDescent="0.3">
      <c r="A232" s="64">
        <f ca="1">RANK(Table1[[#This Row],[Composite]],Table1[Composite])</f>
        <v>237</v>
      </c>
      <c r="B232" s="67" t="str">
        <f>'Adj Data'!A238</f>
        <v>Southern</v>
      </c>
      <c r="C232" s="44">
        <f ca="1">'Adj Data'!G238</f>
        <v>66.834699623810124</v>
      </c>
      <c r="D232" s="44">
        <f ca="1">'Adj Data'!B238</f>
        <v>66.407523624530967</v>
      </c>
      <c r="E232" s="64">
        <f ca="1">RANK(Table1[[#This Row],[Kenpom]],Table1[Kenpom])</f>
        <v>232</v>
      </c>
      <c r="F232" s="44">
        <f ca="1">'Adj Data'!C238</f>
        <v>67.766575246899379</v>
      </c>
      <c r="G232" s="64">
        <f ca="1">RANK(Table1[[#This Row],[PVA]],Table1[PVA])</f>
        <v>222</v>
      </c>
      <c r="H232" s="44">
        <f ca="1">'Adj Data'!D238</f>
        <v>66.33</v>
      </c>
      <c r="I232" s="64">
        <f ca="1">RANK(Table1[[#This Row],[Sagarin]],Table1[Sagarin])</f>
        <v>244</v>
      </c>
      <c r="J232" s="44" t="str">
        <f ca="1">IFERROR(AVERAGE('Adj Data'!E238,'Adj Data'!F238),"")</f>
        <v/>
      </c>
      <c r="K232" s="64" t="str">
        <f ca="1">IFERROR(RANK(Table1[[#This Row],[Preseason]],Table1[Preseason]),"")</f>
        <v/>
      </c>
    </row>
    <row r="233" spans="1:11" x14ac:dyDescent="0.3">
      <c r="A233" s="64">
        <f ca="1">RANK(Table1[[#This Row],[Composite]],Table1[Composite])</f>
        <v>227</v>
      </c>
      <c r="B233" s="67" t="str">
        <f>'Adj Data'!A219</f>
        <v>FIU</v>
      </c>
      <c r="C233" s="44">
        <f ca="1">'Adj Data'!G219</f>
        <v>67.160590102103711</v>
      </c>
      <c r="D233" s="44">
        <f ca="1">'Adj Data'!B219</f>
        <v>66.562164628466732</v>
      </c>
      <c r="E233" s="64">
        <f ca="1">RANK(Table1[[#This Row],[Kenpom]],Table1[Kenpom])</f>
        <v>227</v>
      </c>
      <c r="F233" s="44">
        <f ca="1">'Adj Data'!C219</f>
        <v>67.249605677844414</v>
      </c>
      <c r="G233" s="64">
        <f ca="1">RANK(Table1[[#This Row],[PVA]],Table1[PVA])</f>
        <v>229</v>
      </c>
      <c r="H233" s="44">
        <f ca="1">'Adj Data'!D219</f>
        <v>67.67</v>
      </c>
      <c r="I233" s="64">
        <f ca="1">RANK(Table1[[#This Row],[Sagarin]],Table1[Sagarin])</f>
        <v>223</v>
      </c>
      <c r="J233" s="44" t="str">
        <f ca="1">IFERROR(AVERAGE('Adj Data'!E219,'Adj Data'!F219),"")</f>
        <v/>
      </c>
      <c r="K233" s="64" t="str">
        <f ca="1">IFERROR(RANK(Table1[[#This Row],[Preseason]],Table1[Preseason]),"")</f>
        <v/>
      </c>
    </row>
    <row r="234" spans="1:11" x14ac:dyDescent="0.3">
      <c r="A234" s="64">
        <f ca="1">RANK(Table1[[#This Row],[Composite]],Table1[Composite])</f>
        <v>231</v>
      </c>
      <c r="B234" s="67" t="str">
        <f>'Adj Data'!A224</f>
        <v>Dartmouth</v>
      </c>
      <c r="C234" s="44">
        <f ca="1">'Adj Data'!G224</f>
        <v>67.00003251443006</v>
      </c>
      <c r="D234" s="44">
        <f ca="1">'Adj Data'!B224</f>
        <v>66.528219042236941</v>
      </c>
      <c r="E234" s="64">
        <f ca="1">RANK(Table1[[#This Row],[Kenpom]],Table1[Kenpom])</f>
        <v>229</v>
      </c>
      <c r="F234" s="44">
        <f ca="1">'Adj Data'!C224</f>
        <v>66.861878501053198</v>
      </c>
      <c r="G234" s="64">
        <f ca="1">RANK(Table1[[#This Row],[PVA]],Table1[PVA])</f>
        <v>240</v>
      </c>
      <c r="H234" s="44">
        <f ca="1">'Adj Data'!D224</f>
        <v>67.61</v>
      </c>
      <c r="I234" s="64">
        <f ca="1">RANK(Table1[[#This Row],[Sagarin]],Table1[Sagarin])</f>
        <v>224</v>
      </c>
      <c r="J234" s="44" t="str">
        <f ca="1">IFERROR(AVERAGE('Adj Data'!E224,'Adj Data'!F224),"")</f>
        <v/>
      </c>
      <c r="K234" s="64" t="str">
        <f ca="1">IFERROR(RANK(Table1[[#This Row],[Preseason]],Table1[Preseason]),"")</f>
        <v/>
      </c>
    </row>
    <row r="235" spans="1:11" x14ac:dyDescent="0.3">
      <c r="A235" s="64">
        <f ca="1">RANK(Table1[[#This Row],[Composite]],Table1[Composite])</f>
        <v>236</v>
      </c>
      <c r="B235" s="67" t="str">
        <f>'Adj Data'!A229</f>
        <v>South Florida</v>
      </c>
      <c r="C235" s="44">
        <f ca="1">'Adj Data'!G229</f>
        <v>66.8451050393695</v>
      </c>
      <c r="D235" s="44">
        <f ca="1">'Adj Data'!B229</f>
        <v>65.875709440264075</v>
      </c>
      <c r="E235" s="64">
        <f ca="1">RANK(Table1[[#This Row],[Kenpom]],Table1[Kenpom])</f>
        <v>238</v>
      </c>
      <c r="F235" s="44">
        <f ca="1">'Adj Data'!C229</f>
        <v>67.249605677844414</v>
      </c>
      <c r="G235" s="64">
        <f ca="1">RANK(Table1[[#This Row],[PVA]],Table1[PVA])</f>
        <v>229</v>
      </c>
      <c r="H235" s="44">
        <f ca="1">'Adj Data'!D229</f>
        <v>67.41</v>
      </c>
      <c r="I235" s="64">
        <f ca="1">RANK(Table1[[#This Row],[Sagarin]],Table1[Sagarin])</f>
        <v>228</v>
      </c>
      <c r="J235" s="44" t="str">
        <f ca="1">IFERROR(AVERAGE('Adj Data'!E229,'Adj Data'!F229),"")</f>
        <v/>
      </c>
      <c r="K235" s="64" t="str">
        <f ca="1">IFERROR(RANK(Table1[[#This Row],[Preseason]],Table1[Preseason]),"")</f>
        <v/>
      </c>
    </row>
    <row r="236" spans="1:11" x14ac:dyDescent="0.3">
      <c r="A236" s="64">
        <f ca="1">RANK(Table1[[#This Row],[Composite]],Table1[Composite])</f>
        <v>232</v>
      </c>
      <c r="B236" s="67" t="str">
        <f>'Adj Data'!A240</f>
        <v>Missouri State</v>
      </c>
      <c r="C236" s="44">
        <f ca="1">'Adj Data'!G240</f>
        <v>66.995738022276058</v>
      </c>
      <c r="D236" s="44">
        <f ca="1">'Adj Data'!B240</f>
        <v>65.856850781247516</v>
      </c>
      <c r="E236" s="64">
        <f ca="1">RANK(Table1[[#This Row],[Kenpom]],Table1[Kenpom])</f>
        <v>240</v>
      </c>
      <c r="F236" s="44">
        <f ca="1">'Adj Data'!C240</f>
        <v>67.12036328558068</v>
      </c>
      <c r="G236" s="64">
        <f ca="1">RANK(Table1[[#This Row],[PVA]],Table1[PVA])</f>
        <v>232</v>
      </c>
      <c r="H236" s="44">
        <f ca="1">'Adj Data'!D240</f>
        <v>68.010000000000005</v>
      </c>
      <c r="I236" s="64">
        <f ca="1">RANK(Table1[[#This Row],[Sagarin]],Table1[Sagarin])</f>
        <v>214</v>
      </c>
      <c r="J236" s="44" t="str">
        <f ca="1">IFERROR(AVERAGE('Adj Data'!E240,'Adj Data'!F240),"")</f>
        <v/>
      </c>
      <c r="K236" s="64" t="str">
        <f ca="1">IFERROR(RANK(Table1[[#This Row],[Preseason]],Table1[Preseason]),"")</f>
        <v/>
      </c>
    </row>
    <row r="237" spans="1:11" x14ac:dyDescent="0.3">
      <c r="A237" s="64">
        <f ca="1">RANK(Table1[[#This Row],[Composite]],Table1[Composite])</f>
        <v>239</v>
      </c>
      <c r="B237" s="67" t="str">
        <f>'Adj Data'!A222</f>
        <v>Army</v>
      </c>
      <c r="C237" s="44">
        <f ca="1">'Adj Data'!G222</f>
        <v>66.573695563128993</v>
      </c>
      <c r="D237" s="44">
        <f ca="1">'Adj Data'!B222</f>
        <v>64.846026657960095</v>
      </c>
      <c r="E237" s="64">
        <f ca="1">RANK(Table1[[#This Row],[Kenpom]],Table1[Kenpom])</f>
        <v>256</v>
      </c>
      <c r="F237" s="44">
        <f ca="1">'Adj Data'!C222</f>
        <v>68.025060031426861</v>
      </c>
      <c r="G237" s="64">
        <f ca="1">RANK(Table1[[#This Row],[PVA]],Table1[PVA])</f>
        <v>216</v>
      </c>
      <c r="H237" s="44">
        <f ca="1">'Adj Data'!D222</f>
        <v>66.849999999999994</v>
      </c>
      <c r="I237" s="64">
        <f ca="1">RANK(Table1[[#This Row],[Sagarin]],Table1[Sagarin])</f>
        <v>235</v>
      </c>
      <c r="J237" s="44" t="str">
        <f ca="1">IFERROR(AVERAGE('Adj Data'!E222,'Adj Data'!F222),"")</f>
        <v/>
      </c>
      <c r="K237" s="64" t="str">
        <f ca="1">IFERROR(RANK(Table1[[#This Row],[Preseason]],Table1[Preseason]),"")</f>
        <v/>
      </c>
    </row>
    <row r="238" spans="1:11" x14ac:dyDescent="0.3">
      <c r="A238" s="64">
        <f ca="1">RANK(Table1[[#This Row],[Composite]],Table1[Composite])</f>
        <v>235</v>
      </c>
      <c r="B238" s="67" t="str">
        <f>'Adj Data'!A220</f>
        <v>UC Riverside</v>
      </c>
      <c r="C238" s="44">
        <f ca="1">'Adj Data'!G220</f>
        <v>66.845347961292575</v>
      </c>
      <c r="D238" s="44">
        <f ca="1">'Adj Data'!B220</f>
        <v>66.731892559615744</v>
      </c>
      <c r="E238" s="64">
        <f ca="1">RANK(Table1[[#This Row],[Kenpom]],Table1[Kenpom])</f>
        <v>225</v>
      </c>
      <c r="F238" s="44">
        <f ca="1">'Adj Data'!C220</f>
        <v>66.474151324261982</v>
      </c>
      <c r="G238" s="64">
        <f ca="1">RANK(Table1[[#This Row],[PVA]],Table1[PVA])</f>
        <v>242</v>
      </c>
      <c r="H238" s="44">
        <f ca="1">'Adj Data'!D220</f>
        <v>67.33</v>
      </c>
      <c r="I238" s="64">
        <f ca="1">RANK(Table1[[#This Row],[Sagarin]],Table1[Sagarin])</f>
        <v>230</v>
      </c>
      <c r="J238" s="44" t="str">
        <f ca="1">IFERROR(AVERAGE('Adj Data'!E220,'Adj Data'!F220),"")</f>
        <v/>
      </c>
      <c r="K238" s="64" t="str">
        <f ca="1">IFERROR(RANK(Table1[[#This Row],[Preseason]],Table1[Preseason]),"")</f>
        <v/>
      </c>
    </row>
    <row r="239" spans="1:11" x14ac:dyDescent="0.3">
      <c r="A239" s="64">
        <f ca="1">RANK(Table1[[#This Row],[Composite]],Table1[Composite])</f>
        <v>238</v>
      </c>
      <c r="B239" s="67" t="str">
        <f>'Adj Data'!A254</f>
        <v>Miami (OH)</v>
      </c>
      <c r="C239" s="44">
        <f ca="1">'Adj Data'!G254</f>
        <v>66.617023765797214</v>
      </c>
      <c r="D239" s="44">
        <f ca="1">'Adj Data'!B254</f>
        <v>66.05298083501971</v>
      </c>
      <c r="E239" s="64">
        <f ca="1">RANK(Table1[[#This Row],[Kenpom]],Table1[Kenpom])</f>
        <v>236</v>
      </c>
      <c r="F239" s="44">
        <f ca="1">'Adj Data'!C254</f>
        <v>67.508090462371896</v>
      </c>
      <c r="G239" s="64">
        <f ca="1">RANK(Table1[[#This Row],[PVA]],Table1[PVA])</f>
        <v>223</v>
      </c>
      <c r="H239" s="44">
        <f ca="1">'Adj Data'!D254</f>
        <v>66.290000000000006</v>
      </c>
      <c r="I239" s="64">
        <f ca="1">RANK(Table1[[#This Row],[Sagarin]],Table1[Sagarin])</f>
        <v>246</v>
      </c>
      <c r="J239" s="44" t="str">
        <f ca="1">IFERROR(AVERAGE('Adj Data'!E254,'Adj Data'!F254),"")</f>
        <v/>
      </c>
      <c r="K239" s="64" t="str">
        <f ca="1">IFERROR(RANK(Table1[[#This Row],[Preseason]],Table1[Preseason]),"")</f>
        <v/>
      </c>
    </row>
    <row r="240" spans="1:11" x14ac:dyDescent="0.3">
      <c r="A240" s="64">
        <f ca="1">RANK(Table1[[#This Row],[Composite]],Table1[Composite])</f>
        <v>240</v>
      </c>
      <c r="B240" s="67" t="str">
        <f>'Adj Data'!A236</f>
        <v>Western Illinois</v>
      </c>
      <c r="C240" s="44">
        <f ca="1">'Adj Data'!G236</f>
        <v>66.526879363259511</v>
      </c>
      <c r="D240" s="44">
        <f ca="1">'Adj Data'!B236</f>
        <v>65.800274804197855</v>
      </c>
      <c r="E240" s="64">
        <f ca="1">RANK(Table1[[#This Row],[Kenpom]],Table1[Kenpom])</f>
        <v>241</v>
      </c>
      <c r="F240" s="44">
        <f ca="1">'Adj Data'!C236</f>
        <v>67.12036328558068</v>
      </c>
      <c r="G240" s="64">
        <f ca="1">RANK(Table1[[#This Row],[PVA]],Table1[PVA])</f>
        <v>232</v>
      </c>
      <c r="H240" s="44">
        <f ca="1">'Adj Data'!D236</f>
        <v>66.66</v>
      </c>
      <c r="I240" s="64">
        <f ca="1">RANK(Table1[[#This Row],[Sagarin]],Table1[Sagarin])</f>
        <v>239</v>
      </c>
      <c r="J240" s="44" t="str">
        <f ca="1">IFERROR(AVERAGE('Adj Data'!E236,'Adj Data'!F236),"")</f>
        <v/>
      </c>
      <c r="K240" s="64" t="str">
        <f ca="1">IFERROR(RANK(Table1[[#This Row],[Preseason]],Table1[Preseason]),"")</f>
        <v/>
      </c>
    </row>
    <row r="241" spans="1:11" x14ac:dyDescent="0.3">
      <c r="A241" s="64">
        <f ca="1">RANK(Table1[[#This Row],[Composite]],Table1[Composite])</f>
        <v>241</v>
      </c>
      <c r="B241" s="67" t="str">
        <f>'Adj Data'!A248</f>
        <v>Santa Clara</v>
      </c>
      <c r="C241" s="44">
        <f ca="1">'Adj Data'!G248</f>
        <v>66.501750731256962</v>
      </c>
      <c r="D241" s="44">
        <f ca="1">'Adj Data'!B248</f>
        <v>65.253373692717716</v>
      </c>
      <c r="E241" s="64">
        <f ca="1">RANK(Table1[[#This Row],[Kenpom]],Table1[Kenpom])</f>
        <v>248</v>
      </c>
      <c r="F241" s="44">
        <f ca="1">'Adj Data'!C248</f>
        <v>66.861878501053198</v>
      </c>
      <c r="G241" s="64">
        <f ca="1">RANK(Table1[[#This Row],[PVA]],Table1[PVA])</f>
        <v>240</v>
      </c>
      <c r="H241" s="44">
        <f ca="1">'Adj Data'!D248</f>
        <v>67.39</v>
      </c>
      <c r="I241" s="64">
        <f ca="1">RANK(Table1[[#This Row],[Sagarin]],Table1[Sagarin])</f>
        <v>229</v>
      </c>
      <c r="J241" s="44" t="str">
        <f ca="1">IFERROR(AVERAGE('Adj Data'!E248,'Adj Data'!F248),"")</f>
        <v/>
      </c>
      <c r="K241" s="64" t="str">
        <f ca="1">IFERROR(RANK(Table1[[#This Row],[Preseason]],Table1[Preseason]),"")</f>
        <v/>
      </c>
    </row>
    <row r="242" spans="1:11" x14ac:dyDescent="0.3">
      <c r="A242" s="64">
        <f ca="1">RANK(Table1[[#This Row],[Composite]],Table1[Composite])</f>
        <v>243</v>
      </c>
      <c r="B242" s="67" t="str">
        <f>'Adj Data'!A242</f>
        <v>Hampton</v>
      </c>
      <c r="C242" s="44">
        <f ca="1">'Adj Data'!G242</f>
        <v>66.07563323534616</v>
      </c>
      <c r="D242" s="44">
        <f ca="1">'Adj Data'!B242</f>
        <v>66.531990774040253</v>
      </c>
      <c r="E242" s="64">
        <f ca="1">RANK(Table1[[#This Row],[Kenpom]],Table1[Kenpom])</f>
        <v>228</v>
      </c>
      <c r="F242" s="44">
        <f ca="1">'Adj Data'!C242</f>
        <v>66.344908931998248</v>
      </c>
      <c r="G242" s="64">
        <f ca="1">RANK(Table1[[#This Row],[PVA]],Table1[PVA])</f>
        <v>243</v>
      </c>
      <c r="H242" s="44">
        <f ca="1">'Adj Data'!D242</f>
        <v>65.349999999999994</v>
      </c>
      <c r="I242" s="64">
        <f ca="1">RANK(Table1[[#This Row],[Sagarin]],Table1[Sagarin])</f>
        <v>259</v>
      </c>
      <c r="J242" s="44" t="str">
        <f ca="1">IFERROR(AVERAGE('Adj Data'!E242,'Adj Data'!F242),"")</f>
        <v/>
      </c>
      <c r="K242" s="64" t="str">
        <f ca="1">IFERROR(RANK(Table1[[#This Row],[Preseason]],Table1[Preseason]),"")</f>
        <v/>
      </c>
    </row>
    <row r="243" spans="1:11" x14ac:dyDescent="0.3">
      <c r="A243" s="64">
        <f ca="1">RANK(Table1[[#This Row],[Composite]],Table1[Composite])</f>
        <v>248</v>
      </c>
      <c r="B243" s="67" t="str">
        <f>'Adj Data'!A255</f>
        <v>Norfolk State</v>
      </c>
      <c r="C243" s="44">
        <f ca="1">'Adj Data'!G255</f>
        <v>65.861327687362873</v>
      </c>
      <c r="D243" s="44">
        <f ca="1">'Adj Data'!B255</f>
        <v>65.585286091409102</v>
      </c>
      <c r="E243" s="64">
        <f ca="1">RANK(Table1[[#This Row],[Kenpom]],Table1[Kenpom])</f>
        <v>243</v>
      </c>
      <c r="F243" s="44">
        <f ca="1">'Adj Data'!C255</f>
        <v>65.698696970679549</v>
      </c>
      <c r="G243" s="64">
        <f ca="1">RANK(Table1[[#This Row],[PVA]],Table1[PVA])</f>
        <v>248</v>
      </c>
      <c r="H243" s="44">
        <f ca="1">'Adj Data'!D255</f>
        <v>66.3</v>
      </c>
      <c r="I243" s="64">
        <f ca="1">RANK(Table1[[#This Row],[Sagarin]],Table1[Sagarin])</f>
        <v>245</v>
      </c>
      <c r="J243" s="44" t="str">
        <f ca="1">IFERROR(AVERAGE('Adj Data'!E255,'Adj Data'!F255),"")</f>
        <v/>
      </c>
      <c r="K243" s="64" t="str">
        <f ca="1">IFERROR(RANK(Table1[[#This Row],[Preseason]],Table1[Preseason]),"")</f>
        <v/>
      </c>
    </row>
    <row r="244" spans="1:11" x14ac:dyDescent="0.3">
      <c r="A244" s="64">
        <f ca="1">RANK(Table1[[#This Row],[Composite]],Table1[Composite])</f>
        <v>229</v>
      </c>
      <c r="B244" s="67" t="str">
        <f>'Adj Data'!A235</f>
        <v>New Hampshire</v>
      </c>
      <c r="C244" s="44">
        <f ca="1">'Adj Data'!G235</f>
        <v>67.093876844751748</v>
      </c>
      <c r="D244" s="44">
        <f ca="1">'Adj Data'!B235</f>
        <v>68.010509640938281</v>
      </c>
      <c r="E244" s="64">
        <f ca="1">RANK(Table1[[#This Row],[Kenpom]],Table1[Kenpom])</f>
        <v>203</v>
      </c>
      <c r="F244" s="44">
        <f ca="1">'Adj Data'!C235</f>
        <v>66.991120893316946</v>
      </c>
      <c r="G244" s="64">
        <f ca="1">RANK(Table1[[#This Row],[PVA]],Table1[PVA])</f>
        <v>236</v>
      </c>
      <c r="H244" s="44">
        <f ca="1">'Adj Data'!D235</f>
        <v>66.28</v>
      </c>
      <c r="I244" s="64">
        <f ca="1">RANK(Table1[[#This Row],[Sagarin]],Table1[Sagarin])</f>
        <v>247</v>
      </c>
      <c r="J244" s="44" t="str">
        <f ca="1">IFERROR(AVERAGE('Adj Data'!E235,'Adj Data'!F235),"")</f>
        <v/>
      </c>
      <c r="K244" s="64" t="str">
        <f ca="1">IFERROR(RANK(Table1[[#This Row],[Preseason]],Table1[Preseason]),"")</f>
        <v/>
      </c>
    </row>
    <row r="245" spans="1:11" x14ac:dyDescent="0.3">
      <c r="A245" s="64">
        <f ca="1">RANK(Table1[[#This Row],[Composite]],Table1[Composite])</f>
        <v>242</v>
      </c>
      <c r="B245" s="67" t="str">
        <f>'Adj Data'!A246</f>
        <v>Air Force</v>
      </c>
      <c r="C245" s="44">
        <f ca="1">'Adj Data'!G246</f>
        <v>66.101253184240306</v>
      </c>
      <c r="D245" s="44">
        <f ca="1">'Adj Data'!B246</f>
        <v>64.823396267140225</v>
      </c>
      <c r="E245" s="64">
        <f ca="1">RANK(Table1[[#This Row],[Kenpom]],Table1[Kenpom])</f>
        <v>257</v>
      </c>
      <c r="F245" s="44">
        <f ca="1">'Adj Data'!C246</f>
        <v>67.12036328558068</v>
      </c>
      <c r="G245" s="64">
        <f ca="1">RANK(Table1[[#This Row],[PVA]],Table1[PVA])</f>
        <v>232</v>
      </c>
      <c r="H245" s="44">
        <f ca="1">'Adj Data'!D246</f>
        <v>66.36</v>
      </c>
      <c r="I245" s="64">
        <f ca="1">RANK(Table1[[#This Row],[Sagarin]],Table1[Sagarin])</f>
        <v>243</v>
      </c>
      <c r="J245" s="44" t="str">
        <f ca="1">IFERROR(AVERAGE('Adj Data'!E246,'Adj Data'!F246),"")</f>
        <v/>
      </c>
      <c r="K245" s="64" t="str">
        <f ca="1">IFERROR(RANK(Table1[[#This Row],[Preseason]],Table1[Preseason]),"")</f>
        <v/>
      </c>
    </row>
    <row r="246" spans="1:11" x14ac:dyDescent="0.3">
      <c r="A246" s="64">
        <f ca="1">RANK(Table1[[#This Row],[Composite]],Table1[Composite])</f>
        <v>245</v>
      </c>
      <c r="B246" s="67" t="str">
        <f>'Adj Data'!A237</f>
        <v>Jackson State</v>
      </c>
      <c r="C246" s="44">
        <f ca="1">'Adj Data'!G237</f>
        <v>66.026911209290688</v>
      </c>
      <c r="D246" s="44">
        <f ca="1">'Adj Data'!B237</f>
        <v>66.41506708813759</v>
      </c>
      <c r="E246" s="64">
        <f ca="1">RANK(Table1[[#This Row],[Kenpom]],Table1[Kenpom])</f>
        <v>231</v>
      </c>
      <c r="F246" s="44">
        <f ca="1">'Adj Data'!C237</f>
        <v>66.215666539734499</v>
      </c>
      <c r="G246" s="64">
        <f ca="1">RANK(Table1[[#This Row],[PVA]],Table1[PVA])</f>
        <v>244</v>
      </c>
      <c r="H246" s="44">
        <f ca="1">'Adj Data'!D237</f>
        <v>65.45</v>
      </c>
      <c r="I246" s="64">
        <f ca="1">RANK(Table1[[#This Row],[Sagarin]],Table1[Sagarin])</f>
        <v>257</v>
      </c>
      <c r="J246" s="44" t="str">
        <f ca="1">IFERROR(AVERAGE('Adj Data'!E237,'Adj Data'!F237),"")</f>
        <v/>
      </c>
      <c r="K246" s="64" t="str">
        <f ca="1">IFERROR(RANK(Table1[[#This Row],[Preseason]],Table1[Preseason]),"")</f>
        <v/>
      </c>
    </row>
    <row r="247" spans="1:11" x14ac:dyDescent="0.3">
      <c r="A247" s="64">
        <f ca="1">RANK(Table1[[#This Row],[Composite]],Table1[Composite])</f>
        <v>244</v>
      </c>
      <c r="B247" s="67" t="str">
        <f>'Adj Data'!A233</f>
        <v>CS Northridge</v>
      </c>
      <c r="C247" s="44">
        <f ca="1">'Adj Data'!G233</f>
        <v>66.050559268566431</v>
      </c>
      <c r="D247" s="44">
        <f ca="1">'Adj Data'!B233</f>
        <v>66.05298083501971</v>
      </c>
      <c r="E247" s="64">
        <f ca="1">RANK(Table1[[#This Row],[Kenpom]],Table1[Kenpom])</f>
        <v>236</v>
      </c>
      <c r="F247" s="44">
        <f ca="1">'Adj Data'!C233</f>
        <v>65.698696970679549</v>
      </c>
      <c r="G247" s="64">
        <f ca="1">RANK(Table1[[#This Row],[PVA]],Table1[PVA])</f>
        <v>248</v>
      </c>
      <c r="H247" s="44">
        <f ca="1">'Adj Data'!D233</f>
        <v>66.400000000000006</v>
      </c>
      <c r="I247" s="64">
        <f ca="1">RANK(Table1[[#This Row],[Sagarin]],Table1[Sagarin])</f>
        <v>242</v>
      </c>
      <c r="J247" s="44" t="str">
        <f ca="1">IFERROR(AVERAGE('Adj Data'!E233,'Adj Data'!F233),"")</f>
        <v/>
      </c>
      <c r="K247" s="64" t="str">
        <f ca="1">IFERROR(RANK(Table1[[#This Row],[Preseason]],Table1[Preseason]),"")</f>
        <v/>
      </c>
    </row>
    <row r="248" spans="1:11" x14ac:dyDescent="0.3">
      <c r="A248" s="64">
        <f ca="1">RANK(Table1[[#This Row],[Composite]],Table1[Composite])</f>
        <v>251</v>
      </c>
      <c r="B248" s="67" t="str">
        <f>'Adj Data'!A245</f>
        <v>Manhattan</v>
      </c>
      <c r="C248" s="44">
        <f ca="1">'Adj Data'!G245</f>
        <v>65.671394360717088</v>
      </c>
      <c r="D248" s="44">
        <f ca="1">'Adj Data'!B245</f>
        <v>65.573970895999167</v>
      </c>
      <c r="E248" s="64">
        <f ca="1">RANK(Table1[[#This Row],[Kenpom]],Table1[Kenpom])</f>
        <v>244</v>
      </c>
      <c r="F248" s="44">
        <f ca="1">'Adj Data'!C245</f>
        <v>65.440212186152067</v>
      </c>
      <c r="G248" s="64">
        <f ca="1">RANK(Table1[[#This Row],[PVA]],Table1[PVA])</f>
        <v>252</v>
      </c>
      <c r="H248" s="44">
        <f ca="1">'Adj Data'!D245</f>
        <v>66</v>
      </c>
      <c r="I248" s="64">
        <f ca="1">RANK(Table1[[#This Row],[Sagarin]],Table1[Sagarin])</f>
        <v>251</v>
      </c>
      <c r="J248" s="44" t="str">
        <f ca="1">IFERROR(AVERAGE('Adj Data'!E245,'Adj Data'!F245),"")</f>
        <v/>
      </c>
      <c r="K248" s="64" t="str">
        <f ca="1">IFERROR(RANK(Table1[[#This Row],[Preseason]],Table1[Preseason]),"")</f>
        <v/>
      </c>
    </row>
    <row r="249" spans="1:11" x14ac:dyDescent="0.3">
      <c r="A249" s="64">
        <f ca="1">RANK(Table1[[#This Row],[Composite]],Table1[Composite])</f>
        <v>246</v>
      </c>
      <c r="B249" s="67" t="str">
        <f>'Adj Data'!A251</f>
        <v>UC Davis</v>
      </c>
      <c r="C249" s="44">
        <f ca="1">'Adj Data'!G251</f>
        <v>65.982650407580323</v>
      </c>
      <c r="D249" s="44">
        <f ca="1">'Adj Data'!B251</f>
        <v>65.189254252061417</v>
      </c>
      <c r="E249" s="64">
        <f ca="1">RANK(Table1[[#This Row],[Kenpom]],Table1[Kenpom])</f>
        <v>249</v>
      </c>
      <c r="F249" s="44">
        <f ca="1">'Adj Data'!C251</f>
        <v>65.698696970679549</v>
      </c>
      <c r="G249" s="64">
        <f ca="1">RANK(Table1[[#This Row],[PVA]],Table1[PVA])</f>
        <v>248</v>
      </c>
      <c r="H249" s="44">
        <f ca="1">'Adj Data'!D251</f>
        <v>67.06</v>
      </c>
      <c r="I249" s="64">
        <f ca="1">RANK(Table1[[#This Row],[Sagarin]],Table1[Sagarin])</f>
        <v>232</v>
      </c>
      <c r="J249" s="44" t="str">
        <f ca="1">IFERROR(AVERAGE('Adj Data'!E251,'Adj Data'!F251),"")</f>
        <v/>
      </c>
      <c r="K249" s="64" t="str">
        <f ca="1">IFERROR(RANK(Table1[[#This Row],[Preseason]],Table1[Preseason]),"")</f>
        <v/>
      </c>
    </row>
    <row r="250" spans="1:11" x14ac:dyDescent="0.3">
      <c r="A250" s="64">
        <f ca="1">RANK(Table1[[#This Row],[Composite]],Table1[Composite])</f>
        <v>247</v>
      </c>
      <c r="B250" s="67" t="str">
        <f>'Adj Data'!A230</f>
        <v>Incarnate Word</v>
      </c>
      <c r="C250" s="44">
        <f ca="1">'Adj Data'!G230</f>
        <v>65.869504378645175</v>
      </c>
      <c r="D250" s="44">
        <f ca="1">'Adj Data'!B230</f>
        <v>66.332088988464747</v>
      </c>
      <c r="E250" s="64">
        <f ca="1">RANK(Table1[[#This Row],[Kenpom]],Table1[Kenpom])</f>
        <v>233</v>
      </c>
      <c r="F250" s="44">
        <f ca="1">'Adj Data'!C230</f>
        <v>66.086424147470765</v>
      </c>
      <c r="G250" s="64">
        <f ca="1">RANK(Table1[[#This Row],[PVA]],Table1[PVA])</f>
        <v>245</v>
      </c>
      <c r="H250" s="44">
        <f ca="1">'Adj Data'!D230</f>
        <v>65.19</v>
      </c>
      <c r="I250" s="64">
        <f ca="1">RANK(Table1[[#This Row],[Sagarin]],Table1[Sagarin])</f>
        <v>261</v>
      </c>
      <c r="J250" s="44" t="str">
        <f ca="1">IFERROR(AVERAGE('Adj Data'!E230,'Adj Data'!F230),"")</f>
        <v/>
      </c>
      <c r="K250" s="64" t="str">
        <f ca="1">IFERROR(RANK(Table1[[#This Row],[Preseason]],Table1[Preseason]),"")</f>
        <v/>
      </c>
    </row>
    <row r="251" spans="1:11" x14ac:dyDescent="0.3">
      <c r="A251" s="64">
        <f ca="1">RANK(Table1[[#This Row],[Composite]],Table1[Composite])</f>
        <v>249</v>
      </c>
      <c r="B251" s="67" t="str">
        <f>'Adj Data'!A252</f>
        <v>Penn</v>
      </c>
      <c r="C251" s="44">
        <f ca="1">'Adj Data'!G252</f>
        <v>65.805693983536173</v>
      </c>
      <c r="D251" s="44">
        <f ca="1">'Adj Data'!B252</f>
        <v>65.038384979928964</v>
      </c>
      <c r="E251" s="64">
        <f ca="1">RANK(Table1[[#This Row],[Kenpom]],Table1[Kenpom])</f>
        <v>253</v>
      </c>
      <c r="F251" s="44">
        <f ca="1">'Adj Data'!C252</f>
        <v>65.698696970679549</v>
      </c>
      <c r="G251" s="64">
        <f ca="1">RANK(Table1[[#This Row],[PVA]],Table1[PVA])</f>
        <v>248</v>
      </c>
      <c r="H251" s="44">
        <f ca="1">'Adj Data'!D252</f>
        <v>66.680000000000007</v>
      </c>
      <c r="I251" s="64">
        <f ca="1">RANK(Table1[[#This Row],[Sagarin]],Table1[Sagarin])</f>
        <v>238</v>
      </c>
      <c r="J251" s="44" t="str">
        <f ca="1">IFERROR(AVERAGE('Adj Data'!E252,'Adj Data'!F252),"")</f>
        <v/>
      </c>
      <c r="K251" s="64" t="str">
        <f ca="1">IFERROR(RANK(Table1[[#This Row],[Preseason]],Table1[Preseason]),"")</f>
        <v/>
      </c>
    </row>
    <row r="252" spans="1:11" x14ac:dyDescent="0.3">
      <c r="A252" s="64">
        <f ca="1">RANK(Table1[[#This Row],[Composite]],Table1[Composite])</f>
        <v>253</v>
      </c>
      <c r="B252" s="67" t="str">
        <f>'Adj Data'!A249</f>
        <v>Drexel</v>
      </c>
      <c r="C252" s="44">
        <f ca="1">'Adj Data'!G249</f>
        <v>65.548817438048815</v>
      </c>
      <c r="D252" s="44">
        <f ca="1">'Adj Data'!B249</f>
        <v>65.185482520258105</v>
      </c>
      <c r="E252" s="64">
        <f ca="1">RANK(Table1[[#This Row],[Kenpom]],Table1[Kenpom])</f>
        <v>250</v>
      </c>
      <c r="F252" s="44">
        <f ca="1">'Adj Data'!C249</f>
        <v>65.310969793888319</v>
      </c>
      <c r="G252" s="64">
        <f ca="1">RANK(Table1[[#This Row],[PVA]],Table1[PVA])</f>
        <v>254</v>
      </c>
      <c r="H252" s="44">
        <f ca="1">'Adj Data'!D249</f>
        <v>66.150000000000006</v>
      </c>
      <c r="I252" s="64">
        <f ca="1">RANK(Table1[[#This Row],[Sagarin]],Table1[Sagarin])</f>
        <v>250</v>
      </c>
      <c r="J252" s="44" t="str">
        <f ca="1">IFERROR(AVERAGE('Adj Data'!E249,'Adj Data'!F249),"")</f>
        <v/>
      </c>
      <c r="K252" s="64" t="str">
        <f ca="1">IFERROR(RANK(Table1[[#This Row],[Preseason]],Table1[Preseason]),"")</f>
        <v/>
      </c>
    </row>
    <row r="253" spans="1:11" x14ac:dyDescent="0.3">
      <c r="A253" s="64">
        <f ca="1">RANK(Table1[[#This Row],[Composite]],Table1[Composite])</f>
        <v>252</v>
      </c>
      <c r="B253" s="67" t="str">
        <f>'Adj Data'!A243</f>
        <v>Colgate</v>
      </c>
      <c r="C253" s="44">
        <f ca="1">'Adj Data'!G243</f>
        <v>65.637416036345783</v>
      </c>
      <c r="D253" s="44">
        <f ca="1">'Adj Data'!B243</f>
        <v>65.672035922885271</v>
      </c>
      <c r="E253" s="64">
        <f ca="1">RANK(Table1[[#This Row],[Kenpom]],Table1[Kenpom])</f>
        <v>242</v>
      </c>
      <c r="F253" s="44">
        <f ca="1">'Adj Data'!C243</f>
        <v>65.440212186152067</v>
      </c>
      <c r="G253" s="64">
        <f ca="1">RANK(Table1[[#This Row],[PVA]],Table1[PVA])</f>
        <v>252</v>
      </c>
      <c r="H253" s="44">
        <f ca="1">'Adj Data'!D243</f>
        <v>65.8</v>
      </c>
      <c r="I253" s="64">
        <f ca="1">RANK(Table1[[#This Row],[Sagarin]],Table1[Sagarin])</f>
        <v>255</v>
      </c>
      <c r="J253" s="44" t="str">
        <f ca="1">IFERROR(AVERAGE('Adj Data'!E243,'Adj Data'!F243),"")</f>
        <v/>
      </c>
      <c r="K253" s="64" t="str">
        <f ca="1">IFERROR(RANK(Table1[[#This Row],[Preseason]],Table1[Preseason]),"")</f>
        <v/>
      </c>
    </row>
    <row r="254" spans="1:11" x14ac:dyDescent="0.3">
      <c r="A254" s="64">
        <f ca="1">RANK(Table1[[#This Row],[Composite]],Table1[Composite])</f>
        <v>250</v>
      </c>
      <c r="B254" s="67" t="str">
        <f>'Adj Data'!A256</f>
        <v>Arkansas State</v>
      </c>
      <c r="C254" s="44">
        <f ca="1">'Adj Data'!G256</f>
        <v>65.78775382624886</v>
      </c>
      <c r="D254" s="44">
        <f ca="1">'Adj Data'!B256</f>
        <v>65.506079723539571</v>
      </c>
      <c r="E254" s="64">
        <f ca="1">RANK(Table1[[#This Row],[Kenpom]],Table1[Kenpom])</f>
        <v>245</v>
      </c>
      <c r="F254" s="44">
        <f ca="1">'Adj Data'!C256</f>
        <v>65.957181755207017</v>
      </c>
      <c r="G254" s="64">
        <f ca="1">RANK(Table1[[#This Row],[PVA]],Table1[PVA])</f>
        <v>246</v>
      </c>
      <c r="H254" s="44">
        <f ca="1">'Adj Data'!D256</f>
        <v>65.900000000000006</v>
      </c>
      <c r="I254" s="64">
        <f ca="1">RANK(Table1[[#This Row],[Sagarin]],Table1[Sagarin])</f>
        <v>253</v>
      </c>
      <c r="J254" s="44" t="str">
        <f ca="1">IFERROR(AVERAGE('Adj Data'!E256,'Adj Data'!F256),"")</f>
        <v/>
      </c>
      <c r="K254" s="64" t="str">
        <f ca="1">IFERROR(RANK(Table1[[#This Row],[Preseason]],Table1[Preseason]),"")</f>
        <v/>
      </c>
    </row>
    <row r="255" spans="1:11" x14ac:dyDescent="0.3">
      <c r="A255" s="64">
        <f ca="1">RANK(Table1[[#This Row],[Composite]],Table1[Composite])</f>
        <v>254</v>
      </c>
      <c r="B255" s="67" t="str">
        <f>'Adj Data'!A241</f>
        <v>Northern Kentucky</v>
      </c>
      <c r="C255" s="44">
        <f ca="1">'Adj Data'!G241</f>
        <v>65.382621907993624</v>
      </c>
      <c r="D255" s="44">
        <f ca="1">'Adj Data'!B241</f>
        <v>64.996895930092535</v>
      </c>
      <c r="E255" s="64">
        <f ca="1">RANK(Table1[[#This Row],[Kenpom]],Table1[Kenpom])</f>
        <v>254</v>
      </c>
      <c r="F255" s="44">
        <f ca="1">'Adj Data'!C241</f>
        <v>65.310969793888319</v>
      </c>
      <c r="G255" s="64">
        <f ca="1">RANK(Table1[[#This Row],[PVA]],Table1[PVA])</f>
        <v>254</v>
      </c>
      <c r="H255" s="44">
        <f ca="1">'Adj Data'!D241</f>
        <v>65.84</v>
      </c>
      <c r="I255" s="64">
        <f ca="1">RANK(Table1[[#This Row],[Sagarin]],Table1[Sagarin])</f>
        <v>254</v>
      </c>
      <c r="J255" s="44" t="str">
        <f ca="1">IFERROR(AVERAGE('Adj Data'!E241,'Adj Data'!F241),"")</f>
        <v/>
      </c>
      <c r="K255" s="64" t="str">
        <f ca="1">IFERROR(RANK(Table1[[#This Row],[Preseason]],Table1[Preseason]),"")</f>
        <v/>
      </c>
    </row>
    <row r="256" spans="1:11" x14ac:dyDescent="0.3">
      <c r="A256" s="64">
        <f ca="1">RANK(Table1[[#This Row],[Composite]],Table1[Composite])</f>
        <v>255</v>
      </c>
      <c r="B256" s="67" t="str">
        <f>'Adj Data'!A259</f>
        <v>Montana State</v>
      </c>
      <c r="C256" s="44">
        <f ca="1">'Adj Data'!G259</f>
        <v>65.259951009455662</v>
      </c>
      <c r="D256" s="44">
        <f ca="1">'Adj Data'!B259</f>
        <v>64.815852803533602</v>
      </c>
      <c r="E256" s="64">
        <f ca="1">RANK(Table1[[#This Row],[Kenpom]],Table1[Kenpom])</f>
        <v>258</v>
      </c>
      <c r="F256" s="44">
        <f ca="1">'Adj Data'!C259</f>
        <v>64.794000224833368</v>
      </c>
      <c r="G256" s="64">
        <f ca="1">RANK(Table1[[#This Row],[PVA]],Table1[PVA])</f>
        <v>263</v>
      </c>
      <c r="H256" s="44">
        <f ca="1">'Adj Data'!D259</f>
        <v>66.17</v>
      </c>
      <c r="I256" s="64">
        <f ca="1">RANK(Table1[[#This Row],[Sagarin]],Table1[Sagarin])</f>
        <v>249</v>
      </c>
      <c r="J256" s="44" t="str">
        <f ca="1">IFERROR(AVERAGE('Adj Data'!E259,'Adj Data'!F259),"")</f>
        <v/>
      </c>
      <c r="K256" s="64" t="str">
        <f ca="1">IFERROR(RANK(Table1[[#This Row],[Preseason]],Table1[Preseason]),"")</f>
        <v/>
      </c>
    </row>
    <row r="257" spans="1:11" x14ac:dyDescent="0.3">
      <c r="A257" s="64">
        <f ca="1">RANK(Table1[[#This Row],[Composite]],Table1[Composite])</f>
        <v>256</v>
      </c>
      <c r="B257" s="67" t="str">
        <f>'Adj Data'!A264</f>
        <v>UMKC</v>
      </c>
      <c r="C257" s="44">
        <f ca="1">'Adj Data'!G264</f>
        <v>65.214975501869503</v>
      </c>
      <c r="D257" s="44">
        <f ca="1">'Adj Data'!B264</f>
        <v>64.480168673038889</v>
      </c>
      <c r="E257" s="64">
        <f ca="1">RANK(Table1[[#This Row],[Kenpom]],Table1[Kenpom])</f>
        <v>261</v>
      </c>
      <c r="F257" s="44">
        <f ca="1">'Adj Data'!C264</f>
        <v>64.66475783256962</v>
      </c>
      <c r="G257" s="64">
        <f ca="1">RANK(Table1[[#This Row],[PVA]],Table1[PVA])</f>
        <v>266</v>
      </c>
      <c r="H257" s="44">
        <f ca="1">'Adj Data'!D264</f>
        <v>66.5</v>
      </c>
      <c r="I257" s="64">
        <f ca="1">RANK(Table1[[#This Row],[Sagarin]],Table1[Sagarin])</f>
        <v>240</v>
      </c>
      <c r="J257" s="44" t="str">
        <f ca="1">IFERROR(AVERAGE('Adj Data'!E264,'Adj Data'!F264),"")</f>
        <v/>
      </c>
      <c r="K257" s="64" t="str">
        <f ca="1">IFERROR(RANK(Table1[[#This Row],[Preseason]],Table1[Preseason]),"")</f>
        <v/>
      </c>
    </row>
    <row r="258" spans="1:11" x14ac:dyDescent="0.3">
      <c r="A258" s="64">
        <f ca="1">RANK(Table1[[#This Row],[Composite]],Table1[Composite])</f>
        <v>258</v>
      </c>
      <c r="B258" s="67" t="str">
        <f>'Adj Data'!A269</f>
        <v>San Jose State</v>
      </c>
      <c r="C258" s="44">
        <f ca="1">'Adj Data'!G269</f>
        <v>65.125301283641193</v>
      </c>
      <c r="D258" s="44">
        <f ca="1">'Adj Data'!B269</f>
        <v>64.393418841562735</v>
      </c>
      <c r="E258" s="64">
        <f ca="1">RANK(Table1[[#This Row],[Kenpom]],Table1[Kenpom])</f>
        <v>262</v>
      </c>
      <c r="F258" s="44">
        <f ca="1">'Adj Data'!C269</f>
        <v>65.052485009360851</v>
      </c>
      <c r="G258" s="64">
        <f ca="1">RANK(Table1[[#This Row],[PVA]],Table1[PVA])</f>
        <v>260</v>
      </c>
      <c r="H258" s="44">
        <f ca="1">'Adj Data'!D269</f>
        <v>65.930000000000007</v>
      </c>
      <c r="I258" s="64">
        <f ca="1">RANK(Table1[[#This Row],[Sagarin]],Table1[Sagarin])</f>
        <v>252</v>
      </c>
      <c r="J258" s="44" t="str">
        <f ca="1">IFERROR(AVERAGE('Adj Data'!E269,'Adj Data'!F269),"")</f>
        <v/>
      </c>
      <c r="K258" s="64" t="str">
        <f ca="1">IFERROR(RANK(Table1[[#This Row],[Preseason]],Table1[Preseason]),"")</f>
        <v/>
      </c>
    </row>
    <row r="259" spans="1:11" x14ac:dyDescent="0.3">
      <c r="A259" s="64">
        <f ca="1">RANK(Table1[[#This Row],[Composite]],Table1[Composite])</f>
        <v>260</v>
      </c>
      <c r="B259" s="67" t="str">
        <f>'Adj Data'!A258</f>
        <v>Mount St Mary's</v>
      </c>
      <c r="C259" s="44">
        <f ca="1">'Adj Data'!G258</f>
        <v>65.032908379118396</v>
      </c>
      <c r="D259" s="44">
        <f ca="1">'Adj Data'!B258</f>
        <v>65.185482520258105</v>
      </c>
      <c r="E259" s="64">
        <f ca="1">RANK(Table1[[#This Row],[Kenpom]],Table1[Kenpom])</f>
        <v>250</v>
      </c>
      <c r="F259" s="44">
        <f ca="1">'Adj Data'!C258</f>
        <v>64.923242617097102</v>
      </c>
      <c r="G259" s="64">
        <f ca="1">RANK(Table1[[#This Row],[PVA]],Table1[PVA])</f>
        <v>262</v>
      </c>
      <c r="H259" s="44">
        <f ca="1">'Adj Data'!D258</f>
        <v>64.989999999999995</v>
      </c>
      <c r="I259" s="64">
        <f ca="1">RANK(Table1[[#This Row],[Sagarin]],Table1[Sagarin])</f>
        <v>263</v>
      </c>
      <c r="J259" s="44" t="str">
        <f ca="1">IFERROR(AVERAGE('Adj Data'!E258,'Adj Data'!F258),"")</f>
        <v/>
      </c>
      <c r="K259" s="64" t="str">
        <f ca="1">IFERROR(RANK(Table1[[#This Row],[Preseason]],Table1[Preseason]),"")</f>
        <v/>
      </c>
    </row>
    <row r="260" spans="1:11" x14ac:dyDescent="0.3">
      <c r="A260" s="64">
        <f ca="1">RANK(Table1[[#This Row],[Composite]],Table1[Composite])</f>
        <v>257</v>
      </c>
      <c r="B260" s="67" t="str">
        <f>'Adj Data'!A270</f>
        <v>Appalachian St</v>
      </c>
      <c r="C260" s="44">
        <f ca="1">'Adj Data'!G270</f>
        <v>65.165587999535077</v>
      </c>
      <c r="D260" s="44">
        <f ca="1">'Adj Data'!B270</f>
        <v>65.325036596980624</v>
      </c>
      <c r="E260" s="64">
        <f ca="1">RANK(Table1[[#This Row],[Kenpom]],Table1[Kenpom])</f>
        <v>247</v>
      </c>
      <c r="F260" s="44">
        <f ca="1">'Adj Data'!C270</f>
        <v>65.181727401624585</v>
      </c>
      <c r="G260" s="64">
        <f ca="1">RANK(Table1[[#This Row],[PVA]],Table1[PVA])</f>
        <v>256</v>
      </c>
      <c r="H260" s="44">
        <f ca="1">'Adj Data'!D270</f>
        <v>64.989999999999995</v>
      </c>
      <c r="I260" s="64">
        <f ca="1">RANK(Table1[[#This Row],[Sagarin]],Table1[Sagarin])</f>
        <v>263</v>
      </c>
      <c r="J260" s="44" t="str">
        <f ca="1">IFERROR(AVERAGE('Adj Data'!E270,'Adj Data'!F270),"")</f>
        <v/>
      </c>
      <c r="K260" s="64" t="str">
        <f ca="1">IFERROR(RANK(Table1[[#This Row],[Preseason]],Table1[Preseason]),"")</f>
        <v/>
      </c>
    </row>
    <row r="261" spans="1:11" x14ac:dyDescent="0.3">
      <c r="A261" s="64">
        <f ca="1">RANK(Table1[[#This Row],[Composite]],Table1[Composite])</f>
        <v>262</v>
      </c>
      <c r="B261" s="67" t="str">
        <f>'Adj Data'!A282</f>
        <v>La Salle</v>
      </c>
      <c r="C261" s="44">
        <f ca="1">'Adj Data'!G282</f>
        <v>64.782659776800244</v>
      </c>
      <c r="D261" s="44">
        <f ca="1">'Adj Data'!B282</f>
        <v>63.590039967457429</v>
      </c>
      <c r="E261" s="64">
        <f ca="1">RANK(Table1[[#This Row],[Kenpom]],Table1[Kenpom])</f>
        <v>268</v>
      </c>
      <c r="F261" s="44">
        <f ca="1">'Adj Data'!C282</f>
        <v>65.827939362943283</v>
      </c>
      <c r="G261" s="64">
        <f ca="1">RANK(Table1[[#This Row],[PVA]],Table1[PVA])</f>
        <v>247</v>
      </c>
      <c r="H261" s="44">
        <f ca="1">'Adj Data'!D282</f>
        <v>64.930000000000007</v>
      </c>
      <c r="I261" s="64">
        <f ca="1">RANK(Table1[[#This Row],[Sagarin]],Table1[Sagarin])</f>
        <v>265</v>
      </c>
      <c r="J261" s="44" t="str">
        <f ca="1">IFERROR(AVERAGE('Adj Data'!E282,'Adj Data'!F282),"")</f>
        <v/>
      </c>
      <c r="K261" s="64" t="str">
        <f ca="1">IFERROR(RANK(Table1[[#This Row],[Preseason]],Table1[Preseason]),"")</f>
        <v/>
      </c>
    </row>
    <row r="262" spans="1:11" x14ac:dyDescent="0.3">
      <c r="A262" s="64">
        <f ca="1">RANK(Table1[[#This Row],[Composite]],Table1[Composite])</f>
        <v>261</v>
      </c>
      <c r="B262" s="67" t="str">
        <f>'Adj Data'!A250</f>
        <v>Portland State</v>
      </c>
      <c r="C262" s="44">
        <f ca="1">'Adj Data'!G250</f>
        <v>64.935533089543185</v>
      </c>
      <c r="D262" s="44">
        <f ca="1">'Adj Data'!B250</f>
        <v>64.514114259268695</v>
      </c>
      <c r="E262" s="64">
        <f ca="1">RANK(Table1[[#This Row],[Kenpom]],Table1[Kenpom])</f>
        <v>260</v>
      </c>
      <c r="F262" s="44">
        <f ca="1">'Adj Data'!C250</f>
        <v>65.052485009360851</v>
      </c>
      <c r="G262" s="64">
        <f ca="1">RANK(Table1[[#This Row],[PVA]],Table1[PVA])</f>
        <v>260</v>
      </c>
      <c r="H262" s="44">
        <f ca="1">'Adj Data'!D250</f>
        <v>65.239999999999995</v>
      </c>
      <c r="I262" s="64">
        <f ca="1">RANK(Table1[[#This Row],[Sagarin]],Table1[Sagarin])</f>
        <v>260</v>
      </c>
      <c r="J262" s="44" t="str">
        <f ca="1">IFERROR(AVERAGE('Adj Data'!E250,'Adj Data'!F250),"")</f>
        <v/>
      </c>
      <c r="K262" s="64" t="str">
        <f ca="1">IFERROR(RANK(Table1[[#This Row],[Preseason]],Table1[Preseason]),"")</f>
        <v/>
      </c>
    </row>
    <row r="263" spans="1:11" x14ac:dyDescent="0.3">
      <c r="A263" s="64">
        <f ca="1">RANK(Table1[[#This Row],[Composite]],Table1[Composite])</f>
        <v>259</v>
      </c>
      <c r="B263" s="67" t="str">
        <f>'Adj Data'!A257</f>
        <v>South Alabama</v>
      </c>
      <c r="C263" s="44">
        <f ca="1">'Adj Data'!G257</f>
        <v>65.062378093960248</v>
      </c>
      <c r="D263" s="44">
        <f ca="1">'Adj Data'!B257</f>
        <v>64.95540688025612</v>
      </c>
      <c r="E263" s="64">
        <f ca="1">RANK(Table1[[#This Row],[Kenpom]],Table1[Kenpom])</f>
        <v>255</v>
      </c>
      <c r="F263" s="44">
        <f ca="1">'Adj Data'!C257</f>
        <v>65.181727401624585</v>
      </c>
      <c r="G263" s="64">
        <f ca="1">RANK(Table1[[#This Row],[PVA]],Table1[PVA])</f>
        <v>256</v>
      </c>
      <c r="H263" s="44">
        <f ca="1">'Adj Data'!D257</f>
        <v>65.05</v>
      </c>
      <c r="I263" s="64">
        <f ca="1">RANK(Table1[[#This Row],[Sagarin]],Table1[Sagarin])</f>
        <v>262</v>
      </c>
      <c r="J263" s="44" t="str">
        <f ca="1">IFERROR(AVERAGE('Adj Data'!E257,'Adj Data'!F257),"")</f>
        <v/>
      </c>
      <c r="K263" s="64" t="str">
        <f ca="1">IFERROR(RANK(Table1[[#This Row],[Preseason]],Table1[Preseason]),"")</f>
        <v/>
      </c>
    </row>
    <row r="264" spans="1:11" x14ac:dyDescent="0.3">
      <c r="A264" s="64">
        <f ca="1">RANK(Table1[[#This Row],[Composite]],Table1[Composite])</f>
        <v>263</v>
      </c>
      <c r="B264" s="67" t="str">
        <f>'Adj Data'!A247</f>
        <v>Kennesaw St</v>
      </c>
      <c r="C264" s="44">
        <f ca="1">'Adj Data'!G247</f>
        <v>64.632226166615041</v>
      </c>
      <c r="D264" s="44">
        <f ca="1">'Adj Data'!B247</f>
        <v>65.132678275011756</v>
      </c>
      <c r="E264" s="64">
        <f ca="1">RANK(Table1[[#This Row],[Kenpom]],Table1[Kenpom])</f>
        <v>252</v>
      </c>
      <c r="F264" s="44">
        <f ca="1">'Adj Data'!C247</f>
        <v>64.794000224833368</v>
      </c>
      <c r="G264" s="64">
        <f ca="1">RANK(Table1[[#This Row],[PVA]],Table1[PVA])</f>
        <v>263</v>
      </c>
      <c r="H264" s="44">
        <f ca="1">'Adj Data'!D247</f>
        <v>63.97</v>
      </c>
      <c r="I264" s="64">
        <f ca="1">RANK(Table1[[#This Row],[Sagarin]],Table1[Sagarin])</f>
        <v>272</v>
      </c>
      <c r="J264" s="44" t="str">
        <f ca="1">IFERROR(AVERAGE('Adj Data'!E247,'Adj Data'!F247),"")</f>
        <v/>
      </c>
      <c r="K264" s="64" t="str">
        <f ca="1">IFERROR(RANK(Table1[[#This Row],[Preseason]],Table1[Preseason]),"")</f>
        <v/>
      </c>
    </row>
    <row r="265" spans="1:11" x14ac:dyDescent="0.3">
      <c r="A265" s="64">
        <f ca="1">RANK(Table1[[#This Row],[Composite]],Table1[Composite])</f>
        <v>269</v>
      </c>
      <c r="B265" s="67" t="str">
        <f>'Adj Data'!A274</f>
        <v>Fairleigh Dickinson</v>
      </c>
      <c r="C265" s="44">
        <f ca="1">'Adj Data'!G274</f>
        <v>64.024799253300628</v>
      </c>
      <c r="D265" s="44">
        <f ca="1">'Adj Data'!B274</f>
        <v>63.612670358277292</v>
      </c>
      <c r="E265" s="64">
        <f ca="1">RANK(Table1[[#This Row],[Kenpom]],Table1[Kenpom])</f>
        <v>267</v>
      </c>
      <c r="F265" s="44">
        <f ca="1">'Adj Data'!C274</f>
        <v>65.181727401624585</v>
      </c>
      <c r="G265" s="64">
        <f ca="1">RANK(Table1[[#This Row],[PVA]],Table1[PVA])</f>
        <v>256</v>
      </c>
      <c r="H265" s="44">
        <f ca="1">'Adj Data'!D274</f>
        <v>63.28</v>
      </c>
      <c r="I265" s="64">
        <f ca="1">RANK(Table1[[#This Row],[Sagarin]],Table1[Sagarin])</f>
        <v>285</v>
      </c>
      <c r="J265" s="44" t="str">
        <f ca="1">IFERROR(AVERAGE('Adj Data'!E274,'Adj Data'!F274),"")</f>
        <v/>
      </c>
      <c r="K265" s="64" t="str">
        <f ca="1">IFERROR(RANK(Table1[[#This Row],[Preseason]],Table1[Preseason]),"")</f>
        <v/>
      </c>
    </row>
    <row r="266" spans="1:11" x14ac:dyDescent="0.3">
      <c r="A266" s="64">
        <f ca="1">RANK(Table1[[#This Row],[Composite]],Table1[Composite])</f>
        <v>265</v>
      </c>
      <c r="B266" s="67" t="str">
        <f>'Adj Data'!A263</f>
        <v>Eastern Illinois</v>
      </c>
      <c r="C266" s="44">
        <f ca="1">'Adj Data'!G263</f>
        <v>64.525204913629111</v>
      </c>
      <c r="D266" s="44">
        <f ca="1">'Adj Data'!B263</f>
        <v>63.823887339262726</v>
      </c>
      <c r="E266" s="64">
        <f ca="1">RANK(Table1[[#This Row],[Kenpom]],Table1[Kenpom])</f>
        <v>264</v>
      </c>
      <c r="F266" s="44">
        <f ca="1">'Adj Data'!C263</f>
        <v>65.181727401624585</v>
      </c>
      <c r="G266" s="64">
        <f ca="1">RANK(Table1[[#This Row],[PVA]],Table1[PVA])</f>
        <v>256</v>
      </c>
      <c r="H266" s="44">
        <f ca="1">'Adj Data'!D263</f>
        <v>64.569999999999993</v>
      </c>
      <c r="I266" s="64">
        <f ca="1">RANK(Table1[[#This Row],[Sagarin]],Table1[Sagarin])</f>
        <v>266</v>
      </c>
      <c r="J266" s="44" t="str">
        <f ca="1">IFERROR(AVERAGE('Adj Data'!E263,'Adj Data'!F263),"")</f>
        <v/>
      </c>
      <c r="K266" s="64" t="str">
        <f ca="1">IFERROR(RANK(Table1[[#This Row],[Preseason]],Table1[Preseason]),"")</f>
        <v/>
      </c>
    </row>
    <row r="267" spans="1:11" x14ac:dyDescent="0.3">
      <c r="A267" s="64">
        <f ca="1">RANK(Table1[[#This Row],[Composite]],Table1[Composite])</f>
        <v>264</v>
      </c>
      <c r="B267" s="67" t="str">
        <f>'Adj Data'!A276</f>
        <v>Drake</v>
      </c>
      <c r="C267" s="44">
        <f ca="1">'Adj Data'!G276</f>
        <v>64.610714700159136</v>
      </c>
      <c r="D267" s="44">
        <f ca="1">'Adj Data'!B276</f>
        <v>63.254355836962716</v>
      </c>
      <c r="E267" s="64">
        <f ca="1">RANK(Table1[[#This Row],[Kenpom]],Table1[Kenpom])</f>
        <v>275</v>
      </c>
      <c r="F267" s="44">
        <f ca="1">'Adj Data'!C276</f>
        <v>64.14778826351467</v>
      </c>
      <c r="G267" s="64">
        <f ca="1">RANK(Table1[[#This Row],[PVA]],Table1[PVA])</f>
        <v>274</v>
      </c>
      <c r="H267" s="44">
        <f ca="1">'Adj Data'!D276</f>
        <v>66.430000000000007</v>
      </c>
      <c r="I267" s="64">
        <f ca="1">RANK(Table1[[#This Row],[Sagarin]],Table1[Sagarin])</f>
        <v>241</v>
      </c>
      <c r="J267" s="44" t="str">
        <f ca="1">IFERROR(AVERAGE('Adj Data'!E276,'Adj Data'!F276),"")</f>
        <v/>
      </c>
      <c r="K267" s="64" t="str">
        <f ca="1">IFERROR(RANK(Table1[[#This Row],[Preseason]],Table1[Preseason]),"")</f>
        <v/>
      </c>
    </row>
    <row r="268" spans="1:11" x14ac:dyDescent="0.3">
      <c r="A268" s="64">
        <f ca="1">RANK(Table1[[#This Row],[Composite]],Table1[Composite])</f>
        <v>266</v>
      </c>
      <c r="B268" s="67" t="str">
        <f>'Adj Data'!A272</f>
        <v>CS Fullerton</v>
      </c>
      <c r="C268" s="44">
        <f ca="1">'Adj Data'!G272</f>
        <v>64.481570767088982</v>
      </c>
      <c r="D268" s="44">
        <f ca="1">'Adj Data'!B272</f>
        <v>63.397681645488547</v>
      </c>
      <c r="E268" s="64">
        <f ca="1">RANK(Table1[[#This Row],[Kenpom]],Table1[Kenpom])</f>
        <v>272</v>
      </c>
      <c r="F268" s="44">
        <f ca="1">'Adj Data'!C272</f>
        <v>64.277030655778404</v>
      </c>
      <c r="G268" s="64">
        <f ca="1">RANK(Table1[[#This Row],[PVA]],Table1[PVA])</f>
        <v>270</v>
      </c>
      <c r="H268" s="44">
        <f ca="1">'Adj Data'!D272</f>
        <v>65.77</v>
      </c>
      <c r="I268" s="64">
        <f ca="1">RANK(Table1[[#This Row],[Sagarin]],Table1[Sagarin])</f>
        <v>256</v>
      </c>
      <c r="J268" s="44" t="str">
        <f ca="1">IFERROR(AVERAGE('Adj Data'!E272,'Adj Data'!F272),"")</f>
        <v/>
      </c>
      <c r="K268" s="64" t="str">
        <f ca="1">IFERROR(RANK(Table1[[#This Row],[Preseason]],Table1[Preseason]),"")</f>
        <v/>
      </c>
    </row>
    <row r="269" spans="1:11" x14ac:dyDescent="0.3">
      <c r="A269" s="64">
        <f ca="1">RANK(Table1[[#This Row],[Composite]],Table1[Composite])</f>
        <v>267</v>
      </c>
      <c r="B269" s="67" t="str">
        <f>'Adj Data'!A284</f>
        <v>Brown</v>
      </c>
      <c r="C269" s="44">
        <f ca="1">'Adj Data'!G284</f>
        <v>64.297601164596372</v>
      </c>
      <c r="D269" s="44">
        <f ca="1">'Adj Data'!B284</f>
        <v>63.454257622538222</v>
      </c>
      <c r="E269" s="64">
        <f ca="1">RANK(Table1[[#This Row],[Kenpom]],Table1[Kenpom])</f>
        <v>271</v>
      </c>
      <c r="F269" s="44">
        <f ca="1">'Adj Data'!C284</f>
        <v>64.018545871250922</v>
      </c>
      <c r="G269" s="64">
        <f ca="1">RANK(Table1[[#This Row],[PVA]],Table1[PVA])</f>
        <v>276</v>
      </c>
      <c r="H269" s="44">
        <f ca="1">'Adj Data'!D284</f>
        <v>65.42</v>
      </c>
      <c r="I269" s="64">
        <f ca="1">RANK(Table1[[#This Row],[Sagarin]],Table1[Sagarin])</f>
        <v>258</v>
      </c>
      <c r="J269" s="44" t="str">
        <f ca="1">IFERROR(AVERAGE('Adj Data'!E284,'Adj Data'!F284),"")</f>
        <v/>
      </c>
      <c r="K269" s="64" t="str">
        <f ca="1">IFERROR(RANK(Table1[[#This Row],[Preseason]],Table1[Preseason]),"")</f>
        <v/>
      </c>
    </row>
    <row r="270" spans="1:11" x14ac:dyDescent="0.3">
      <c r="A270" s="64">
        <f ca="1">RANK(Table1[[#This Row],[Composite]],Table1[Composite])</f>
        <v>268</v>
      </c>
      <c r="B270" s="67" t="str">
        <f>'Adj Data'!A275</f>
        <v>South Carolina St</v>
      </c>
      <c r="C270" s="44">
        <f ca="1">'Adj Data'!G275</f>
        <v>64.041703161495278</v>
      </c>
      <c r="D270" s="44">
        <f ca="1">'Adj Data'!B275</f>
        <v>63.729594044179947</v>
      </c>
      <c r="E270" s="64">
        <f ca="1">RANK(Table1[[#This Row],[Kenpom]],Table1[Kenpom])</f>
        <v>265</v>
      </c>
      <c r="F270" s="44">
        <f ca="1">'Adj Data'!C275</f>
        <v>64.535515440305886</v>
      </c>
      <c r="G270" s="64">
        <f ca="1">RANK(Table1[[#This Row],[PVA]],Table1[PVA])</f>
        <v>267</v>
      </c>
      <c r="H270" s="44">
        <f ca="1">'Adj Data'!D275</f>
        <v>63.86</v>
      </c>
      <c r="I270" s="64">
        <f ca="1">RANK(Table1[[#This Row],[Sagarin]],Table1[Sagarin])</f>
        <v>274</v>
      </c>
      <c r="J270" s="44" t="str">
        <f ca="1">IFERROR(AVERAGE('Adj Data'!E275,'Adj Data'!F275),"")</f>
        <v/>
      </c>
      <c r="K270" s="64" t="str">
        <f ca="1">IFERROR(RANK(Table1[[#This Row],[Preseason]],Table1[Preseason]),"")</f>
        <v/>
      </c>
    </row>
    <row r="271" spans="1:11" x14ac:dyDescent="0.3">
      <c r="A271" s="64">
        <f ca="1">RANK(Table1[[#This Row],[Composite]],Table1[Composite])</f>
        <v>270</v>
      </c>
      <c r="B271" s="67" t="str">
        <f>'Adj Data'!A277</f>
        <v>San Diego</v>
      </c>
      <c r="C271" s="44">
        <f ca="1">'Adj Data'!G277</f>
        <v>63.935491139984798</v>
      </c>
      <c r="D271" s="44">
        <f ca="1">'Adj Data'!B277</f>
        <v>63.269442764175963</v>
      </c>
      <c r="E271" s="64">
        <f ca="1">RANK(Table1[[#This Row],[Kenpom]],Table1[Kenpom])</f>
        <v>274</v>
      </c>
      <c r="F271" s="44">
        <f ca="1">'Adj Data'!C277</f>
        <v>64.277030655778404</v>
      </c>
      <c r="G271" s="64">
        <f ca="1">RANK(Table1[[#This Row],[PVA]],Table1[PVA])</f>
        <v>270</v>
      </c>
      <c r="H271" s="44">
        <f ca="1">'Adj Data'!D277</f>
        <v>64.260000000000005</v>
      </c>
      <c r="I271" s="64">
        <f ca="1">RANK(Table1[[#This Row],[Sagarin]],Table1[Sagarin])</f>
        <v>268</v>
      </c>
      <c r="J271" s="44" t="str">
        <f ca="1">IFERROR(AVERAGE('Adj Data'!E277,'Adj Data'!F277),"")</f>
        <v/>
      </c>
      <c r="K271" s="64" t="str">
        <f ca="1">IFERROR(RANK(Table1[[#This Row],[Preseason]],Table1[Preseason]),"")</f>
        <v/>
      </c>
    </row>
    <row r="272" spans="1:11" x14ac:dyDescent="0.3">
      <c r="A272" s="64">
        <f ca="1">RANK(Table1[[#This Row],[Composite]],Table1[Composite])</f>
        <v>271</v>
      </c>
      <c r="B272" s="67" t="str">
        <f>'Adj Data'!A281</f>
        <v>Sacramento St</v>
      </c>
      <c r="C272" s="44">
        <f ca="1">'Adj Data'!G281</f>
        <v>63.820836930846433</v>
      </c>
      <c r="D272" s="44">
        <f ca="1">'Adj Data'!B281</f>
        <v>62.496237744497144</v>
      </c>
      <c r="E272" s="64">
        <f ca="1">RANK(Table1[[#This Row],[Kenpom]],Table1[Kenpom])</f>
        <v>284</v>
      </c>
      <c r="F272" s="44">
        <f ca="1">'Adj Data'!C281</f>
        <v>64.406273048042152</v>
      </c>
      <c r="G272" s="64">
        <f ca="1">RANK(Table1[[#This Row],[PVA]],Table1[PVA])</f>
        <v>269</v>
      </c>
      <c r="H272" s="44">
        <f ca="1">'Adj Data'!D281</f>
        <v>64.56</v>
      </c>
      <c r="I272" s="64">
        <f ca="1">RANK(Table1[[#This Row],[Sagarin]],Table1[Sagarin])</f>
        <v>267</v>
      </c>
      <c r="J272" s="44" t="str">
        <f ca="1">IFERROR(AVERAGE('Adj Data'!E281,'Adj Data'!F281),"")</f>
        <v/>
      </c>
      <c r="K272" s="64" t="str">
        <f ca="1">IFERROR(RANK(Table1[[#This Row],[Preseason]],Table1[Preseason]),"")</f>
        <v/>
      </c>
    </row>
    <row r="273" spans="1:11" x14ac:dyDescent="0.3">
      <c r="A273" s="64">
        <f ca="1">RANK(Table1[[#This Row],[Composite]],Table1[Composite])</f>
        <v>276</v>
      </c>
      <c r="B273" s="67" t="str">
        <f>'Adj Data'!A308</f>
        <v>Rutgers</v>
      </c>
      <c r="C273" s="44">
        <f ca="1">'Adj Data'!G308</f>
        <v>63.557315340812828</v>
      </c>
      <c r="D273" s="44">
        <f ca="1">'Adj Data'!B308</f>
        <v>61.707945797605085</v>
      </c>
      <c r="E273" s="64">
        <f ca="1">RANK(Table1[[#This Row],[Kenpom]],Table1[Kenpom])</f>
        <v>293</v>
      </c>
      <c r="F273" s="44">
        <f ca="1">'Adj Data'!C308</f>
        <v>64.794000224833368</v>
      </c>
      <c r="G273" s="64">
        <f ca="1">RANK(Table1[[#This Row],[PVA]],Table1[PVA])</f>
        <v>263</v>
      </c>
      <c r="H273" s="44">
        <f ca="1">'Adj Data'!D308</f>
        <v>64.17</v>
      </c>
      <c r="I273" s="64">
        <f ca="1">RANK(Table1[[#This Row],[Sagarin]],Table1[Sagarin])</f>
        <v>269</v>
      </c>
      <c r="J273" s="44" t="str">
        <f ca="1">IFERROR(AVERAGE('Adj Data'!E308,'Adj Data'!F308),"")</f>
        <v/>
      </c>
      <c r="K273" s="64" t="str">
        <f ca="1">IFERROR(RANK(Table1[[#This Row],[Preseason]],Table1[Preseason]),"")</f>
        <v/>
      </c>
    </row>
    <row r="274" spans="1:11" x14ac:dyDescent="0.3">
      <c r="A274" s="64">
        <f ca="1">RANK(Table1[[#This Row],[Composite]],Table1[Composite])</f>
        <v>272</v>
      </c>
      <c r="B274" s="67" t="str">
        <f>'Adj Data'!A266</f>
        <v>Jacksonville</v>
      </c>
      <c r="C274" s="44">
        <f ca="1">'Adj Data'!G266</f>
        <v>63.771488799350685</v>
      </c>
      <c r="D274" s="44">
        <f ca="1">'Adj Data'!B266</f>
        <v>63.52592052680113</v>
      </c>
      <c r="E274" s="64">
        <f ca="1">RANK(Table1[[#This Row],[Kenpom]],Table1[Kenpom])</f>
        <v>270</v>
      </c>
      <c r="F274" s="44">
        <f ca="1">'Adj Data'!C266</f>
        <v>64.018545871250922</v>
      </c>
      <c r="G274" s="64">
        <f ca="1">RANK(Table1[[#This Row],[PVA]],Table1[PVA])</f>
        <v>276</v>
      </c>
      <c r="H274" s="44">
        <f ca="1">'Adj Data'!D266</f>
        <v>63.77</v>
      </c>
      <c r="I274" s="64">
        <f ca="1">RANK(Table1[[#This Row],[Sagarin]],Table1[Sagarin])</f>
        <v>275</v>
      </c>
      <c r="J274" s="44" t="str">
        <f ca="1">IFERROR(AVERAGE('Adj Data'!E266,'Adj Data'!F266),"")</f>
        <v/>
      </c>
      <c r="K274" s="64" t="str">
        <f ca="1">IFERROR(RANK(Table1[[#This Row],[Preseason]],Table1[Preseason]),"")</f>
        <v/>
      </c>
    </row>
    <row r="275" spans="1:11" x14ac:dyDescent="0.3">
      <c r="A275" s="64">
        <f ca="1">RANK(Table1[[#This Row],[Composite]],Table1[Composite])</f>
        <v>273</v>
      </c>
      <c r="B275" s="67" t="str">
        <f>'Adj Data'!A262</f>
        <v>Houston Baptist</v>
      </c>
      <c r="C275" s="44">
        <f ca="1">'Adj Data'!G262</f>
        <v>63.764283125647147</v>
      </c>
      <c r="D275" s="44">
        <f ca="1">'Adj Data'!B262</f>
        <v>63.337333936635567</v>
      </c>
      <c r="E275" s="64">
        <f ca="1">RANK(Table1[[#This Row],[Kenpom]],Table1[Kenpom])</f>
        <v>273</v>
      </c>
      <c r="F275" s="44">
        <f ca="1">'Adj Data'!C262</f>
        <v>64.535515440305886</v>
      </c>
      <c r="G275" s="64">
        <f ca="1">RANK(Table1[[#This Row],[PVA]],Table1[PVA])</f>
        <v>267</v>
      </c>
      <c r="H275" s="44">
        <f ca="1">'Adj Data'!D262</f>
        <v>63.42</v>
      </c>
      <c r="I275" s="64">
        <f ca="1">RANK(Table1[[#This Row],[Sagarin]],Table1[Sagarin])</f>
        <v>280</v>
      </c>
      <c r="J275" s="44" t="str">
        <f ca="1">IFERROR(AVERAGE('Adj Data'!E262,'Adj Data'!F262),"")</f>
        <v/>
      </c>
      <c r="K275" s="64" t="str">
        <f ca="1">IFERROR(RANK(Table1[[#This Row],[Preseason]],Table1[Preseason]),"")</f>
        <v/>
      </c>
    </row>
    <row r="276" spans="1:11" x14ac:dyDescent="0.3">
      <c r="A276" s="64">
        <f ca="1">RANK(Table1[[#This Row],[Composite]],Table1[Composite])</f>
        <v>274</v>
      </c>
      <c r="B276" s="67" t="str">
        <f>'Adj Data'!A273</f>
        <v>Lipscomb</v>
      </c>
      <c r="C276" s="44">
        <f ca="1">'Adj Data'!G273</f>
        <v>63.653062858409015</v>
      </c>
      <c r="D276" s="44">
        <f ca="1">'Adj Data'!B273</f>
        <v>62.741400311712383</v>
      </c>
      <c r="E276" s="64">
        <f ca="1">RANK(Table1[[#This Row],[Kenpom]],Table1[Kenpom])</f>
        <v>281</v>
      </c>
      <c r="F276" s="44">
        <f ca="1">'Adj Data'!C273</f>
        <v>64.14778826351467</v>
      </c>
      <c r="G276" s="64">
        <f ca="1">RANK(Table1[[#This Row],[PVA]],Table1[PVA])</f>
        <v>274</v>
      </c>
      <c r="H276" s="44">
        <f ca="1">'Adj Data'!D273</f>
        <v>64.069999999999993</v>
      </c>
      <c r="I276" s="64">
        <f ca="1">RANK(Table1[[#This Row],[Sagarin]],Table1[Sagarin])</f>
        <v>271</v>
      </c>
      <c r="J276" s="44" t="str">
        <f ca="1">IFERROR(AVERAGE('Adj Data'!E273,'Adj Data'!F273),"")</f>
        <v/>
      </c>
      <c r="K276" s="64" t="str">
        <f ca="1">IFERROR(RANK(Table1[[#This Row],[Preseason]],Table1[Preseason]),"")</f>
        <v/>
      </c>
    </row>
    <row r="277" spans="1:11" x14ac:dyDescent="0.3">
      <c r="A277" s="64">
        <f ca="1">RANK(Table1[[#This Row],[Composite]],Table1[Composite])</f>
        <v>275</v>
      </c>
      <c r="B277" s="67" t="str">
        <f>'Adj Data'!A261</f>
        <v>Rice</v>
      </c>
      <c r="C277" s="44">
        <f ca="1">'Adj Data'!G261</f>
        <v>63.649348185970894</v>
      </c>
      <c r="D277" s="44">
        <f ca="1">'Adj Data'!B261</f>
        <v>63.574953040244182</v>
      </c>
      <c r="E277" s="64">
        <f ca="1">RANK(Table1[[#This Row],[Kenpom]],Table1[Kenpom])</f>
        <v>269</v>
      </c>
      <c r="F277" s="44">
        <f ca="1">'Adj Data'!C261</f>
        <v>63.243091517668489</v>
      </c>
      <c r="G277" s="64">
        <f ca="1">RANK(Table1[[#This Row],[PVA]],Table1[PVA])</f>
        <v>288</v>
      </c>
      <c r="H277" s="44">
        <f ca="1">'Adj Data'!D261</f>
        <v>64.13</v>
      </c>
      <c r="I277" s="64">
        <f ca="1">RANK(Table1[[#This Row],[Sagarin]],Table1[Sagarin])</f>
        <v>270</v>
      </c>
      <c r="J277" s="44" t="str">
        <f ca="1">IFERROR(AVERAGE('Adj Data'!E261,'Adj Data'!F261),"")</f>
        <v/>
      </c>
      <c r="K277" s="64" t="str">
        <f ca="1">IFERROR(RANK(Table1[[#This Row],[Preseason]],Table1[Preseason]),"")</f>
        <v/>
      </c>
    </row>
    <row r="278" spans="1:11" x14ac:dyDescent="0.3">
      <c r="A278" s="64">
        <f ca="1">RANK(Table1[[#This Row],[Composite]],Table1[Composite])</f>
        <v>279</v>
      </c>
      <c r="B278" s="67" t="str">
        <f>'Adj Data'!A280</f>
        <v>Delaware</v>
      </c>
      <c r="C278" s="44">
        <f ca="1">'Adj Data'!G280</f>
        <v>63.458168426450847</v>
      </c>
      <c r="D278" s="44">
        <f ca="1">'Adj Data'!B280</f>
        <v>63.092171369420335</v>
      </c>
      <c r="E278" s="64">
        <f ca="1">RANK(Table1[[#This Row],[Kenpom]],Table1[Kenpom])</f>
        <v>279</v>
      </c>
      <c r="F278" s="44">
        <f ca="1">'Adj Data'!C280</f>
        <v>63.37233390993223</v>
      </c>
      <c r="G278" s="64">
        <f ca="1">RANK(Table1[[#This Row],[PVA]],Table1[PVA])</f>
        <v>284</v>
      </c>
      <c r="H278" s="44">
        <f ca="1">'Adj Data'!D280</f>
        <v>63.91</v>
      </c>
      <c r="I278" s="64">
        <f ca="1">RANK(Table1[[#This Row],[Sagarin]],Table1[Sagarin])</f>
        <v>273</v>
      </c>
      <c r="J278" s="44" t="str">
        <f ca="1">IFERROR(AVERAGE('Adj Data'!E280,'Adj Data'!F280),"")</f>
        <v/>
      </c>
      <c r="K278" s="64" t="str">
        <f ca="1">IFERROR(RANK(Table1[[#This Row],[Preseason]],Table1[Preseason]),"")</f>
        <v/>
      </c>
    </row>
    <row r="279" spans="1:11" x14ac:dyDescent="0.3">
      <c r="A279" s="64">
        <f ca="1">RANK(Table1[[#This Row],[Composite]],Table1[Composite])</f>
        <v>277</v>
      </c>
      <c r="B279" s="67" t="str">
        <f>'Adj Data'!A268</f>
        <v>Idaho State</v>
      </c>
      <c r="C279" s="44">
        <f ca="1">'Adj Data'!G268</f>
        <v>63.512369834845437</v>
      </c>
      <c r="D279" s="44">
        <f ca="1">'Adj Data'!B268</f>
        <v>63.156290810076626</v>
      </c>
      <c r="E279" s="64">
        <f ca="1">RANK(Table1[[#This Row],[Kenpom]],Table1[Kenpom])</f>
        <v>276</v>
      </c>
      <c r="F279" s="44">
        <f ca="1">'Adj Data'!C268</f>
        <v>63.630818694459705</v>
      </c>
      <c r="G279" s="64">
        <f ca="1">RANK(Table1[[#This Row],[PVA]],Table1[PVA])</f>
        <v>279</v>
      </c>
      <c r="H279" s="44">
        <f ca="1">'Adj Data'!D268</f>
        <v>63.75</v>
      </c>
      <c r="I279" s="64">
        <f ca="1">RANK(Table1[[#This Row],[Sagarin]],Table1[Sagarin])</f>
        <v>277</v>
      </c>
      <c r="J279" s="44" t="str">
        <f ca="1">IFERROR(AVERAGE('Adj Data'!E268,'Adj Data'!F268),"")</f>
        <v/>
      </c>
      <c r="K279" s="64" t="str">
        <f ca="1">IFERROR(RANK(Table1[[#This Row],[Preseason]],Table1[Preseason]),"")</f>
        <v/>
      </c>
    </row>
    <row r="280" spans="1:11" x14ac:dyDescent="0.3">
      <c r="A280" s="64">
        <f ca="1">RANK(Table1[[#This Row],[Composite]],Table1[Composite])</f>
        <v>278</v>
      </c>
      <c r="B280" s="67" t="str">
        <f>'Adj Data'!A267</f>
        <v>Cornell</v>
      </c>
      <c r="C280" s="44">
        <f ca="1">'Adj Data'!G267</f>
        <v>63.50017784249556</v>
      </c>
      <c r="D280" s="44">
        <f ca="1">'Adj Data'!B267</f>
        <v>63.099714833026958</v>
      </c>
      <c r="E280" s="64">
        <f ca="1">RANK(Table1[[#This Row],[Kenpom]],Table1[Kenpom])</f>
        <v>278</v>
      </c>
      <c r="F280" s="44">
        <f ca="1">'Adj Data'!C267</f>
        <v>63.630818694459705</v>
      </c>
      <c r="G280" s="64">
        <f ca="1">RANK(Table1[[#This Row],[PVA]],Table1[PVA])</f>
        <v>279</v>
      </c>
      <c r="H280" s="44">
        <f ca="1">'Adj Data'!D267</f>
        <v>63.77</v>
      </c>
      <c r="I280" s="64">
        <f ca="1">RANK(Table1[[#This Row],[Sagarin]],Table1[Sagarin])</f>
        <v>275</v>
      </c>
      <c r="J280" s="44" t="str">
        <f ca="1">IFERROR(AVERAGE('Adj Data'!E267,'Adj Data'!F267),"")</f>
        <v/>
      </c>
      <c r="K280" s="64" t="str">
        <f ca="1">IFERROR(RANK(Table1[[#This Row],[Preseason]],Table1[Preseason]),"")</f>
        <v/>
      </c>
    </row>
    <row r="281" spans="1:11" x14ac:dyDescent="0.3">
      <c r="A281" s="64">
        <f ca="1">RANK(Table1[[#This Row],[Composite]],Table1[Composite])</f>
        <v>280</v>
      </c>
      <c r="B281" s="67" t="str">
        <f>'Adj Data'!A319</f>
        <v>Holy Cross</v>
      </c>
      <c r="C281" s="44">
        <f ca="1">'Adj Data'!G319</f>
        <v>63.425808260069566</v>
      </c>
      <c r="D281" s="44">
        <f ca="1">'Adj Data'!B319</f>
        <v>63.684333262540207</v>
      </c>
      <c r="E281" s="64">
        <f ca="1">RANK(Table1[[#This Row],[Kenpom]],Table1[Kenpom])</f>
        <v>266</v>
      </c>
      <c r="F281" s="44">
        <f ca="1">'Adj Data'!C319</f>
        <v>63.243091517668489</v>
      </c>
      <c r="G281" s="64">
        <f ca="1">RANK(Table1[[#This Row],[PVA]],Table1[PVA])</f>
        <v>288</v>
      </c>
      <c r="H281" s="44">
        <f ca="1">'Adj Data'!D319</f>
        <v>63.35</v>
      </c>
      <c r="I281" s="64">
        <f ca="1">RANK(Table1[[#This Row],[Sagarin]],Table1[Sagarin])</f>
        <v>282</v>
      </c>
      <c r="J281" s="44" t="str">
        <f ca="1">IFERROR(AVERAGE('Adj Data'!E319,'Adj Data'!F319),"")</f>
        <v/>
      </c>
      <c r="K281" s="64" t="str">
        <f ca="1">IFERROR(RANK(Table1[[#This Row],[Preseason]],Table1[Preseason]),"")</f>
        <v/>
      </c>
    </row>
    <row r="282" spans="1:11" x14ac:dyDescent="0.3">
      <c r="A282" s="64">
        <f ca="1">RANK(Table1[[#This Row],[Composite]],Table1[Composite])</f>
        <v>281</v>
      </c>
      <c r="B282" s="67" t="str">
        <f>'Adj Data'!A271</f>
        <v>Youngstown St</v>
      </c>
      <c r="C282" s="44">
        <f ca="1">'Adj Data'!G271</f>
        <v>63.317773821951675</v>
      </c>
      <c r="D282" s="44">
        <f ca="1">'Adj Data'!B271</f>
        <v>63.156290810076626</v>
      </c>
      <c r="E282" s="64">
        <f ca="1">RANK(Table1[[#This Row],[Kenpom]],Table1[Kenpom])</f>
        <v>276</v>
      </c>
      <c r="F282" s="44">
        <f ca="1">'Adj Data'!C271</f>
        <v>64.277030655778404</v>
      </c>
      <c r="G282" s="64">
        <f ca="1">RANK(Table1[[#This Row],[PVA]],Table1[PVA])</f>
        <v>270</v>
      </c>
      <c r="H282" s="44">
        <f ca="1">'Adj Data'!D271</f>
        <v>62.52</v>
      </c>
      <c r="I282" s="64">
        <f ca="1">RANK(Table1[[#This Row],[Sagarin]],Table1[Sagarin])</f>
        <v>292</v>
      </c>
      <c r="J282" s="44" t="str">
        <f ca="1">IFERROR(AVERAGE('Adj Data'!E271,'Adj Data'!F271),"")</f>
        <v/>
      </c>
      <c r="K282" s="64" t="str">
        <f ca="1">IFERROR(RANK(Table1[[#This Row],[Preseason]],Table1[Preseason]),"")</f>
        <v/>
      </c>
    </row>
    <row r="283" spans="1:11" x14ac:dyDescent="0.3">
      <c r="A283" s="64">
        <f ca="1">RANK(Table1[[#This Row],[Composite]],Table1[Composite])</f>
        <v>283</v>
      </c>
      <c r="B283" s="67" t="str">
        <f>'Adj Data'!A265</f>
        <v>St Francis (NY)</v>
      </c>
      <c r="C283" s="44">
        <f ca="1">'Adj Data'!G265</f>
        <v>63.260314475456653</v>
      </c>
      <c r="D283" s="44">
        <f ca="1">'Adj Data'!B265</f>
        <v>63.039367124173971</v>
      </c>
      <c r="E283" s="64">
        <f ca="1">RANK(Table1[[#This Row],[Kenpom]],Table1[Kenpom])</f>
        <v>280</v>
      </c>
      <c r="F283" s="44">
        <f ca="1">'Adj Data'!C265</f>
        <v>63.501576302195971</v>
      </c>
      <c r="G283" s="64">
        <f ca="1">RANK(Table1[[#This Row],[PVA]],Table1[PVA])</f>
        <v>281</v>
      </c>
      <c r="H283" s="44">
        <f ca="1">'Adj Data'!D265</f>
        <v>63.24</v>
      </c>
      <c r="I283" s="64">
        <f ca="1">RANK(Table1[[#This Row],[Sagarin]],Table1[Sagarin])</f>
        <v>286</v>
      </c>
      <c r="J283" s="44" t="str">
        <f ca="1">IFERROR(AVERAGE('Adj Data'!E265,'Adj Data'!F265),"")</f>
        <v/>
      </c>
      <c r="K283" s="64" t="str">
        <f ca="1">IFERROR(RANK(Table1[[#This Row],[Preseason]],Table1[Preseason]),"")</f>
        <v/>
      </c>
    </row>
    <row r="284" spans="1:11" x14ac:dyDescent="0.3">
      <c r="A284" s="64">
        <f ca="1">RANK(Table1[[#This Row],[Composite]],Table1[Composite])</f>
        <v>282</v>
      </c>
      <c r="B284" s="67" t="str">
        <f>'Adj Data'!A302</f>
        <v>Stetson</v>
      </c>
      <c r="C284" s="44">
        <f ca="1">'Adj Data'!G302</f>
        <v>63.314729353885525</v>
      </c>
      <c r="D284" s="44">
        <f ca="1">'Adj Data'!B302</f>
        <v>64.121854151724321</v>
      </c>
      <c r="E284" s="64">
        <f ca="1">RANK(Table1[[#This Row],[Kenpom]],Table1[Kenpom])</f>
        <v>263</v>
      </c>
      <c r="F284" s="44">
        <f ca="1">'Adj Data'!C302</f>
        <v>63.37233390993223</v>
      </c>
      <c r="G284" s="64">
        <f ca="1">RANK(Table1[[#This Row],[PVA]],Table1[PVA])</f>
        <v>284</v>
      </c>
      <c r="H284" s="44">
        <f ca="1">'Adj Data'!D302</f>
        <v>62.45</v>
      </c>
      <c r="I284" s="64">
        <f ca="1">RANK(Table1[[#This Row],[Sagarin]],Table1[Sagarin])</f>
        <v>293</v>
      </c>
      <c r="J284" s="44" t="str">
        <f ca="1">IFERROR(AVERAGE('Adj Data'!E302,'Adj Data'!F302),"")</f>
        <v/>
      </c>
      <c r="K284" s="64" t="str">
        <f ca="1">IFERROR(RANK(Table1[[#This Row],[Preseason]],Table1[Preseason]),"")</f>
        <v/>
      </c>
    </row>
    <row r="285" spans="1:11" x14ac:dyDescent="0.3">
      <c r="A285" s="64">
        <f ca="1">RANK(Table1[[#This Row],[Composite]],Table1[Composite])</f>
        <v>284</v>
      </c>
      <c r="B285" s="67" t="str">
        <f>'Adj Data'!A286</f>
        <v>Utah Valley</v>
      </c>
      <c r="C285" s="44">
        <f ca="1">'Adj Data'!G286</f>
        <v>63.096318462558855</v>
      </c>
      <c r="D285" s="44">
        <f ca="1">'Adj Data'!B286</f>
        <v>62.477379085480592</v>
      </c>
      <c r="E285" s="64">
        <f ca="1">RANK(Table1[[#This Row],[Kenpom]],Table1[Kenpom])</f>
        <v>286</v>
      </c>
      <c r="F285" s="44">
        <f ca="1">'Adj Data'!C286</f>
        <v>63.501576302195971</v>
      </c>
      <c r="G285" s="64">
        <f ca="1">RANK(Table1[[#This Row],[PVA]],Table1[PVA])</f>
        <v>281</v>
      </c>
      <c r="H285" s="44">
        <f ca="1">'Adj Data'!D286</f>
        <v>63.31</v>
      </c>
      <c r="I285" s="64">
        <f ca="1">RANK(Table1[[#This Row],[Sagarin]],Table1[Sagarin])</f>
        <v>284</v>
      </c>
      <c r="J285" s="44" t="str">
        <f ca="1">IFERROR(AVERAGE('Adj Data'!E286,'Adj Data'!F286),"")</f>
        <v/>
      </c>
      <c r="K285" s="64" t="str">
        <f ca="1">IFERROR(RANK(Table1[[#This Row],[Preseason]],Table1[Preseason]),"")</f>
        <v/>
      </c>
    </row>
    <row r="286" spans="1:11" x14ac:dyDescent="0.3">
      <c r="A286" s="64">
        <f ca="1">RANK(Table1[[#This Row],[Composite]],Table1[Composite])</f>
        <v>287</v>
      </c>
      <c r="B286" s="67" t="str">
        <f>'Adj Data'!A278</f>
        <v>Liberty</v>
      </c>
      <c r="C286" s="44">
        <f ca="1">'Adj Data'!G278</f>
        <v>62.70939806290891</v>
      </c>
      <c r="D286" s="44">
        <f ca="1">'Adj Data'!B278</f>
        <v>62.088890709739523</v>
      </c>
      <c r="E286" s="64">
        <f ca="1">RANK(Table1[[#This Row],[Kenpom]],Table1[Kenpom])</f>
        <v>288</v>
      </c>
      <c r="F286" s="44">
        <f ca="1">'Adj Data'!C278</f>
        <v>63.889303478987188</v>
      </c>
      <c r="G286" s="64">
        <f ca="1">RANK(Table1[[#This Row],[PVA]],Table1[PVA])</f>
        <v>278</v>
      </c>
      <c r="H286" s="44">
        <f ca="1">'Adj Data'!D278</f>
        <v>62.15</v>
      </c>
      <c r="I286" s="64">
        <f ca="1">RANK(Table1[[#This Row],[Sagarin]],Table1[Sagarin])</f>
        <v>297</v>
      </c>
      <c r="J286" s="44" t="str">
        <f ca="1">IFERROR(AVERAGE('Adj Data'!E278,'Adj Data'!F278),"")</f>
        <v/>
      </c>
      <c r="K286" s="64" t="str">
        <f ca="1">IFERROR(RANK(Table1[[#This Row],[Preseason]],Table1[Preseason]),"")</f>
        <v/>
      </c>
    </row>
    <row r="287" spans="1:11" x14ac:dyDescent="0.3">
      <c r="A287" s="64">
        <f ca="1">RANK(Table1[[#This Row],[Composite]],Table1[Composite])</f>
        <v>285</v>
      </c>
      <c r="B287" s="67" t="str">
        <f>'Adj Data'!A296</f>
        <v>Seattle</v>
      </c>
      <c r="C287" s="44">
        <f ca="1">'Adj Data'!G296</f>
        <v>63.083321722057406</v>
      </c>
      <c r="D287" s="44">
        <f ca="1">'Adj Data'!B296</f>
        <v>61.92293451039383</v>
      </c>
      <c r="E287" s="64">
        <f ca="1">RANK(Table1[[#This Row],[Kenpom]],Table1[Kenpom])</f>
        <v>291</v>
      </c>
      <c r="F287" s="44">
        <f ca="1">'Adj Data'!C296</f>
        <v>64.277030655778404</v>
      </c>
      <c r="G287" s="64">
        <f ca="1">RANK(Table1[[#This Row],[PVA]],Table1[PVA])</f>
        <v>270</v>
      </c>
      <c r="H287" s="44">
        <f ca="1">'Adj Data'!D296</f>
        <v>63.05</v>
      </c>
      <c r="I287" s="64">
        <f ca="1">RANK(Table1[[#This Row],[Sagarin]],Table1[Sagarin])</f>
        <v>287</v>
      </c>
      <c r="J287" s="44" t="str">
        <f ca="1">IFERROR(AVERAGE('Adj Data'!E296,'Adj Data'!F296),"")</f>
        <v/>
      </c>
      <c r="K287" s="64" t="str">
        <f ca="1">IFERROR(RANK(Table1[[#This Row],[Preseason]],Table1[Preseason]),"")</f>
        <v/>
      </c>
    </row>
    <row r="288" spans="1:11" x14ac:dyDescent="0.3">
      <c r="A288" s="64">
        <f ca="1">RANK(Table1[[#This Row],[Composite]],Table1[Composite])</f>
        <v>286</v>
      </c>
      <c r="B288" s="67" t="str">
        <f>'Adj Data'!A279</f>
        <v>Troy</v>
      </c>
      <c r="C288" s="44">
        <f ca="1">'Adj Data'!G279</f>
        <v>62.942089751648759</v>
      </c>
      <c r="D288" s="44">
        <f ca="1">'Adj Data'!B279</f>
        <v>62.609389698596488</v>
      </c>
      <c r="E288" s="64">
        <f ca="1">RANK(Table1[[#This Row],[Kenpom]],Table1[Kenpom])</f>
        <v>283</v>
      </c>
      <c r="F288" s="44">
        <f ca="1">'Adj Data'!C279</f>
        <v>62.596879556349791</v>
      </c>
      <c r="G288" s="64">
        <f ca="1">RANK(Table1[[#This Row],[PVA]],Table1[PVA])</f>
        <v>292</v>
      </c>
      <c r="H288" s="44">
        <f ca="1">'Adj Data'!D279</f>
        <v>63.62</v>
      </c>
      <c r="I288" s="64">
        <f ca="1">RANK(Table1[[#This Row],[Sagarin]],Table1[Sagarin])</f>
        <v>278</v>
      </c>
      <c r="J288" s="44" t="str">
        <f ca="1">IFERROR(AVERAGE('Adj Data'!E279,'Adj Data'!F279),"")</f>
        <v/>
      </c>
      <c r="K288" s="64" t="str">
        <f ca="1">IFERROR(RANK(Table1[[#This Row],[Preseason]],Table1[Preseason]),"")</f>
        <v/>
      </c>
    </row>
    <row r="289" spans="1:11" x14ac:dyDescent="0.3">
      <c r="A289" s="64">
        <f ca="1">RANK(Table1[[#This Row],[Composite]],Table1[Composite])</f>
        <v>290</v>
      </c>
      <c r="B289" s="67" t="str">
        <f>'Adj Data'!A298</f>
        <v>Cleveland State</v>
      </c>
      <c r="C289" s="44">
        <f ca="1">'Adj Data'!G298</f>
        <v>62.608148099012872</v>
      </c>
      <c r="D289" s="44">
        <f ca="1">'Adj Data'!B298</f>
        <v>60.912110387106395</v>
      </c>
      <c r="E289" s="64">
        <f ca="1">RANK(Table1[[#This Row],[Kenpom]],Table1[Kenpom])</f>
        <v>303</v>
      </c>
      <c r="F289" s="44">
        <f ca="1">'Adj Data'!C298</f>
        <v>63.37233390993223</v>
      </c>
      <c r="G289" s="64">
        <f ca="1">RANK(Table1[[#This Row],[PVA]],Table1[PVA])</f>
        <v>284</v>
      </c>
      <c r="H289" s="44">
        <f ca="1">'Adj Data'!D298</f>
        <v>63.54</v>
      </c>
      <c r="I289" s="64">
        <f ca="1">RANK(Table1[[#This Row],[Sagarin]],Table1[Sagarin])</f>
        <v>279</v>
      </c>
      <c r="J289" s="44" t="str">
        <f ca="1">IFERROR(AVERAGE('Adj Data'!E298,'Adj Data'!F298),"")</f>
        <v/>
      </c>
      <c r="K289" s="64" t="str">
        <f ca="1">IFERROR(RANK(Table1[[#This Row],[Preseason]],Table1[Preseason]),"")</f>
        <v/>
      </c>
    </row>
    <row r="290" spans="1:11" x14ac:dyDescent="0.3">
      <c r="A290" s="64">
        <f ca="1">RANK(Table1[[#This Row],[Composite]],Table1[Composite])</f>
        <v>289</v>
      </c>
      <c r="B290" s="67" t="str">
        <f>'Adj Data'!A287</f>
        <v>LIU Brooklyn</v>
      </c>
      <c r="C290" s="44">
        <f ca="1">'Adj Data'!G287</f>
        <v>62.66484476729832</v>
      </c>
      <c r="D290" s="44">
        <f ca="1">'Adj Data'!B287</f>
        <v>62.696139530072642</v>
      </c>
      <c r="E290" s="64">
        <f ca="1">RANK(Table1[[#This Row],[Kenpom]],Table1[Kenpom])</f>
        <v>282</v>
      </c>
      <c r="F290" s="44">
        <f ca="1">'Adj Data'!C287</f>
        <v>62.338394771822308</v>
      </c>
      <c r="G290" s="64">
        <f ca="1">RANK(Table1[[#This Row],[PVA]],Table1[PVA])</f>
        <v>293</v>
      </c>
      <c r="H290" s="44">
        <f ca="1">'Adj Data'!D287</f>
        <v>62.96</v>
      </c>
      <c r="I290" s="64">
        <f ca="1">RANK(Table1[[#This Row],[Sagarin]],Table1[Sagarin])</f>
        <v>289</v>
      </c>
      <c r="J290" s="44" t="str">
        <f ca="1">IFERROR(AVERAGE('Adj Data'!E287,'Adj Data'!F287),"")</f>
        <v/>
      </c>
      <c r="K290" s="64" t="str">
        <f ca="1">IFERROR(RANK(Table1[[#This Row],[Preseason]],Table1[Preseason]),"")</f>
        <v/>
      </c>
    </row>
    <row r="291" spans="1:11" x14ac:dyDescent="0.3">
      <c r="A291" s="64">
        <f ca="1">RANK(Table1[[#This Row],[Composite]],Table1[Composite])</f>
        <v>288</v>
      </c>
      <c r="B291" s="67" t="str">
        <f>'Adj Data'!A300</f>
        <v>North Texas</v>
      </c>
      <c r="C291" s="44">
        <f ca="1">'Adj Data'!G300</f>
        <v>62.682745553746933</v>
      </c>
      <c r="D291" s="44">
        <f ca="1">'Adj Data'!B300</f>
        <v>62.04362992809979</v>
      </c>
      <c r="E291" s="64">
        <f ca="1">RANK(Table1[[#This Row],[Kenpom]],Table1[Kenpom])</f>
        <v>289</v>
      </c>
      <c r="F291" s="44">
        <f ca="1">'Adj Data'!C300</f>
        <v>62.984606733141007</v>
      </c>
      <c r="G291" s="64">
        <f ca="1">RANK(Table1[[#This Row],[PVA]],Table1[PVA])</f>
        <v>290</v>
      </c>
      <c r="H291" s="44">
        <f ca="1">'Adj Data'!D300</f>
        <v>63.02</v>
      </c>
      <c r="I291" s="64">
        <f ca="1">RANK(Table1[[#This Row],[Sagarin]],Table1[Sagarin])</f>
        <v>288</v>
      </c>
      <c r="J291" s="44" t="str">
        <f ca="1">IFERROR(AVERAGE('Adj Data'!E300,'Adj Data'!F300),"")</f>
        <v/>
      </c>
      <c r="K291" s="64" t="str">
        <f ca="1">IFERROR(RANK(Table1[[#This Row],[Preseason]],Table1[Preseason]),"")</f>
        <v/>
      </c>
    </row>
    <row r="292" spans="1:11" x14ac:dyDescent="0.3">
      <c r="A292" s="64">
        <f ca="1">RANK(Table1[[#This Row],[Composite]],Table1[Composite])</f>
        <v>291</v>
      </c>
      <c r="B292" s="67" t="str">
        <f>'Adj Data'!A283</f>
        <v>Loyola (MD)</v>
      </c>
      <c r="C292" s="44">
        <f ca="1">'Adj Data'!G283</f>
        <v>62.436218866485852</v>
      </c>
      <c r="D292" s="44">
        <f ca="1">'Adj Data'!B283</f>
        <v>62.40571618121767</v>
      </c>
      <c r="E292" s="64">
        <f ca="1">RANK(Table1[[#This Row],[Kenpom]],Table1[Kenpom])</f>
        <v>287</v>
      </c>
      <c r="F292" s="44">
        <f ca="1">'Adj Data'!C283</f>
        <v>61.562940418239876</v>
      </c>
      <c r="G292" s="64">
        <f ca="1">RANK(Table1[[#This Row],[PVA]],Table1[PVA])</f>
        <v>299</v>
      </c>
      <c r="H292" s="44">
        <f ca="1">'Adj Data'!D283</f>
        <v>63.34</v>
      </c>
      <c r="I292" s="64">
        <f ca="1">RANK(Table1[[#This Row],[Sagarin]],Table1[Sagarin])</f>
        <v>283</v>
      </c>
      <c r="J292" s="44" t="str">
        <f ca="1">IFERROR(AVERAGE('Adj Data'!E283,'Adj Data'!F283),"")</f>
        <v/>
      </c>
      <c r="K292" s="64" t="str">
        <f ca="1">IFERROR(RANK(Table1[[#This Row],[Preseason]],Table1[Preseason]),"")</f>
        <v/>
      </c>
    </row>
    <row r="293" spans="1:11" x14ac:dyDescent="0.3">
      <c r="A293" s="64">
        <f ca="1">RANK(Table1[[#This Row],[Composite]],Table1[Composite])</f>
        <v>292</v>
      </c>
      <c r="B293" s="67" t="str">
        <f>'Adj Data'!A288</f>
        <v>Longwood</v>
      </c>
      <c r="C293" s="44">
        <f ca="1">'Adj Data'!G288</f>
        <v>62.341488309812497</v>
      </c>
      <c r="D293" s="44">
        <f ca="1">'Adj Data'!B288</f>
        <v>62.039858196296478</v>
      </c>
      <c r="E293" s="64">
        <f ca="1">RANK(Table1[[#This Row],[Kenpom]],Table1[Kenpom])</f>
        <v>290</v>
      </c>
      <c r="F293" s="44">
        <f ca="1">'Adj Data'!C288</f>
        <v>62.984606733141007</v>
      </c>
      <c r="G293" s="64">
        <f ca="1">RANK(Table1[[#This Row],[PVA]],Table1[PVA])</f>
        <v>290</v>
      </c>
      <c r="H293" s="44">
        <f ca="1">'Adj Data'!D288</f>
        <v>62</v>
      </c>
      <c r="I293" s="64">
        <f ca="1">RANK(Table1[[#This Row],[Sagarin]],Table1[Sagarin])</f>
        <v>300</v>
      </c>
      <c r="J293" s="44" t="str">
        <f ca="1">IFERROR(AVERAGE('Adj Data'!E288,'Adj Data'!F288),"")</f>
        <v/>
      </c>
      <c r="K293" s="64" t="str">
        <f ca="1">IFERROR(RANK(Table1[[#This Row],[Preseason]],Table1[Preseason]),"")</f>
        <v/>
      </c>
    </row>
    <row r="294" spans="1:11" x14ac:dyDescent="0.3">
      <c r="A294" s="64">
        <f ca="1">RANK(Table1[[#This Row],[Composite]],Table1[Composite])</f>
        <v>295</v>
      </c>
      <c r="B294" s="67" t="str">
        <f>'Adj Data'!A293</f>
        <v>Quinnipiac</v>
      </c>
      <c r="C294" s="44">
        <f ca="1">'Adj Data'!G293</f>
        <v>62.044811539618628</v>
      </c>
      <c r="D294" s="44">
        <f ca="1">'Adj Data'!B293</f>
        <v>61.409978985143489</v>
      </c>
      <c r="E294" s="64">
        <f ca="1">RANK(Table1[[#This Row],[Kenpom]],Table1[Kenpom])</f>
        <v>295</v>
      </c>
      <c r="F294" s="44">
        <f ca="1">'Adj Data'!C293</f>
        <v>61.304455633712394</v>
      </c>
      <c r="G294" s="64">
        <f ca="1">RANK(Table1[[#This Row],[PVA]],Table1[PVA])</f>
        <v>304</v>
      </c>
      <c r="H294" s="44">
        <f ca="1">'Adj Data'!D293</f>
        <v>63.42</v>
      </c>
      <c r="I294" s="64">
        <f ca="1">RANK(Table1[[#This Row],[Sagarin]],Table1[Sagarin])</f>
        <v>280</v>
      </c>
      <c r="J294" s="44" t="str">
        <f ca="1">IFERROR(AVERAGE('Adj Data'!E293,'Adj Data'!F293),"")</f>
        <v/>
      </c>
      <c r="K294" s="64" t="str">
        <f ca="1">IFERROR(RANK(Table1[[#This Row],[Preseason]],Table1[Preseason]),"")</f>
        <v/>
      </c>
    </row>
    <row r="295" spans="1:11" x14ac:dyDescent="0.3">
      <c r="A295" s="64">
        <f ca="1">RANK(Table1[[#This Row],[Composite]],Table1[Composite])</f>
        <v>293</v>
      </c>
      <c r="B295" s="67" t="str">
        <f>'Adj Data'!A295</f>
        <v>Charleston So</v>
      </c>
      <c r="C295" s="44">
        <f ca="1">'Adj Data'!G295</f>
        <v>62.161873887472098</v>
      </c>
      <c r="D295" s="44">
        <f ca="1">'Adj Data'!B295</f>
        <v>60.814045360220305</v>
      </c>
      <c r="E295" s="64">
        <f ca="1">RANK(Table1[[#This Row],[Kenpom]],Table1[Kenpom])</f>
        <v>305</v>
      </c>
      <c r="F295" s="44">
        <f ca="1">'Adj Data'!C295</f>
        <v>63.501576302195971</v>
      </c>
      <c r="G295" s="64">
        <f ca="1">RANK(Table1[[#This Row],[PVA]],Table1[PVA])</f>
        <v>281</v>
      </c>
      <c r="H295" s="44">
        <f ca="1">'Adj Data'!D295</f>
        <v>62.17</v>
      </c>
      <c r="I295" s="64">
        <f ca="1">RANK(Table1[[#This Row],[Sagarin]],Table1[Sagarin])</f>
        <v>296</v>
      </c>
      <c r="J295" s="44" t="str">
        <f ca="1">IFERROR(AVERAGE('Adj Data'!E295,'Adj Data'!F295),"")</f>
        <v/>
      </c>
      <c r="K295" s="64" t="str">
        <f ca="1">IFERROR(RANK(Table1[[#This Row],[Preseason]],Table1[Preseason]),"")</f>
        <v/>
      </c>
    </row>
    <row r="296" spans="1:11" x14ac:dyDescent="0.3">
      <c r="A296" s="64">
        <f ca="1">RANK(Table1[[#This Row],[Composite]],Table1[Composite])</f>
        <v>294</v>
      </c>
      <c r="B296" s="67" t="str">
        <f>'Adj Data'!A290</f>
        <v>Campbell</v>
      </c>
      <c r="C296" s="44">
        <f ca="1">'Adj Data'!G290</f>
        <v>62.123607948413103</v>
      </c>
      <c r="D296" s="44">
        <f ca="1">'Adj Data'!B290</f>
        <v>61.368489935307068</v>
      </c>
      <c r="E296" s="64">
        <f ca="1">RANK(Table1[[#This Row],[Kenpom]],Table1[Kenpom])</f>
        <v>296</v>
      </c>
      <c r="F296" s="44">
        <f ca="1">'Adj Data'!C290</f>
        <v>63.37233390993223</v>
      </c>
      <c r="G296" s="64">
        <f ca="1">RANK(Table1[[#This Row],[PVA]],Table1[PVA])</f>
        <v>284</v>
      </c>
      <c r="H296" s="44">
        <f ca="1">'Adj Data'!D290</f>
        <v>61.63</v>
      </c>
      <c r="I296" s="64">
        <f ca="1">RANK(Table1[[#This Row],[Sagarin]],Table1[Sagarin])</f>
        <v>303</v>
      </c>
      <c r="J296" s="44" t="str">
        <f ca="1">IFERROR(AVERAGE('Adj Data'!E290,'Adj Data'!F290),"")</f>
        <v/>
      </c>
      <c r="K296" s="64" t="str">
        <f ca="1">IFERROR(RANK(Table1[[#This Row],[Preseason]],Table1[Preseason]),"")</f>
        <v/>
      </c>
    </row>
    <row r="297" spans="1:11" x14ac:dyDescent="0.3">
      <c r="A297" s="64">
        <f ca="1">RANK(Table1[[#This Row],[Composite]],Table1[Composite])</f>
        <v>296</v>
      </c>
      <c r="B297" s="67" t="str">
        <f>'Adj Data'!A297</f>
        <v>St Francis (PA)</v>
      </c>
      <c r="C297" s="44">
        <f ca="1">'Adj Data'!G297</f>
        <v>61.924532838070441</v>
      </c>
      <c r="D297" s="44">
        <f ca="1">'Adj Data'!B297</f>
        <v>61.534446134652761</v>
      </c>
      <c r="E297" s="64">
        <f ca="1">RANK(Table1[[#This Row],[Kenpom]],Table1[Kenpom])</f>
        <v>294</v>
      </c>
      <c r="F297" s="44">
        <f ca="1">'Adj Data'!C297</f>
        <v>62.209152379558574</v>
      </c>
      <c r="G297" s="64">
        <f ca="1">RANK(Table1[[#This Row],[PVA]],Table1[PVA])</f>
        <v>294</v>
      </c>
      <c r="H297" s="44">
        <f ca="1">'Adj Data'!D297</f>
        <v>62.03</v>
      </c>
      <c r="I297" s="64">
        <f ca="1">RANK(Table1[[#This Row],[Sagarin]],Table1[Sagarin])</f>
        <v>299</v>
      </c>
      <c r="J297" s="44" t="str">
        <f ca="1">IFERROR(AVERAGE('Adj Data'!E297,'Adj Data'!F297),"")</f>
        <v/>
      </c>
      <c r="K297" s="64" t="str">
        <f ca="1">IFERROR(RANK(Table1[[#This Row],[Preseason]],Table1[Preseason]),"")</f>
        <v/>
      </c>
    </row>
    <row r="298" spans="1:11" x14ac:dyDescent="0.3">
      <c r="A298" s="64">
        <f ca="1">RANK(Table1[[#This Row],[Composite]],Table1[Composite])</f>
        <v>297</v>
      </c>
      <c r="B298" s="67" t="str">
        <f>'Adj Data'!A285</f>
        <v>Alabama State</v>
      </c>
      <c r="C298" s="44">
        <f ca="1">'Adj Data'!G285</f>
        <v>61.825954322442364</v>
      </c>
      <c r="D298" s="44">
        <f ca="1">'Adj Data'!B285</f>
        <v>62.484922549087216</v>
      </c>
      <c r="E298" s="64">
        <f ca="1">RANK(Table1[[#This Row],[Kenpom]],Table1[Kenpom])</f>
        <v>285</v>
      </c>
      <c r="F298" s="44">
        <f ca="1">'Adj Data'!C285</f>
        <v>61.562940418239876</v>
      </c>
      <c r="G298" s="64">
        <f ca="1">RANK(Table1[[#This Row],[PVA]],Table1[PVA])</f>
        <v>299</v>
      </c>
      <c r="H298" s="44">
        <f ca="1">'Adj Data'!D285</f>
        <v>61.43</v>
      </c>
      <c r="I298" s="64">
        <f ca="1">RANK(Table1[[#This Row],[Sagarin]],Table1[Sagarin])</f>
        <v>306</v>
      </c>
      <c r="J298" s="44" t="str">
        <f ca="1">IFERROR(AVERAGE('Adj Data'!E285,'Adj Data'!F285),"")</f>
        <v/>
      </c>
      <c r="K298" s="64" t="str">
        <f ca="1">IFERROR(RANK(Table1[[#This Row],[Preseason]],Table1[Preseason]),"")</f>
        <v/>
      </c>
    </row>
    <row r="299" spans="1:11" x14ac:dyDescent="0.3">
      <c r="A299" s="64">
        <f ca="1">RANK(Table1[[#This Row],[Composite]],Table1[Composite])</f>
        <v>299</v>
      </c>
      <c r="B299" s="67" t="str">
        <f>'Adj Data'!A292</f>
        <v>NC Central</v>
      </c>
      <c r="C299" s="44">
        <f ca="1">'Adj Data'!G292</f>
        <v>61.692811982332024</v>
      </c>
      <c r="D299" s="44">
        <f ca="1">'Adj Data'!B292</f>
        <v>61.289283567437529</v>
      </c>
      <c r="E299" s="64">
        <f ca="1">RANK(Table1[[#This Row],[Kenpom]],Table1[Kenpom])</f>
        <v>297</v>
      </c>
      <c r="F299" s="44">
        <f ca="1">'Adj Data'!C292</f>
        <v>62.209152379558574</v>
      </c>
      <c r="G299" s="64">
        <f ca="1">RANK(Table1[[#This Row],[PVA]],Table1[PVA])</f>
        <v>294</v>
      </c>
      <c r="H299" s="44">
        <f ca="1">'Adj Data'!D292</f>
        <v>61.58</v>
      </c>
      <c r="I299" s="64">
        <f ca="1">RANK(Table1[[#This Row],[Sagarin]],Table1[Sagarin])</f>
        <v>305</v>
      </c>
      <c r="J299" s="44" t="str">
        <f ca="1">IFERROR(AVERAGE('Adj Data'!E292,'Adj Data'!F292),"")</f>
        <v/>
      </c>
      <c r="K299" s="64" t="str">
        <f ca="1">IFERROR(RANK(Table1[[#This Row],[Preseason]],Table1[Preseason]),"")</f>
        <v/>
      </c>
    </row>
    <row r="300" spans="1:11" x14ac:dyDescent="0.3">
      <c r="A300" s="64">
        <f ca="1">RANK(Table1[[#This Row],[Composite]],Table1[Composite])</f>
        <v>298</v>
      </c>
      <c r="B300" s="67" t="str">
        <f>'Adj Data'!A304</f>
        <v>Jacksonville St</v>
      </c>
      <c r="C300" s="44">
        <f ca="1">'Adj Data'!G304</f>
        <v>61.746472049739147</v>
      </c>
      <c r="D300" s="44">
        <f ca="1">'Adj Data'!B304</f>
        <v>60.847990946450103</v>
      </c>
      <c r="E300" s="64">
        <f ca="1">RANK(Table1[[#This Row],[Kenpom]],Table1[Kenpom])</f>
        <v>304</v>
      </c>
      <c r="F300" s="44">
        <f ca="1">'Adj Data'!C304</f>
        <v>61.821425202767358</v>
      </c>
      <c r="G300" s="64">
        <f ca="1">RANK(Table1[[#This Row],[PVA]],Table1[PVA])</f>
        <v>296</v>
      </c>
      <c r="H300" s="44">
        <f ca="1">'Adj Data'!D304</f>
        <v>62.57</v>
      </c>
      <c r="I300" s="64">
        <f ca="1">RANK(Table1[[#This Row],[Sagarin]],Table1[Sagarin])</f>
        <v>291</v>
      </c>
      <c r="J300" s="44" t="str">
        <f ca="1">IFERROR(AVERAGE('Adj Data'!E304,'Adj Data'!F304),"")</f>
        <v/>
      </c>
      <c r="K300" s="64" t="str">
        <f ca="1">IFERROR(RANK(Table1[[#This Row],[Preseason]],Table1[Preseason]),"")</f>
        <v/>
      </c>
    </row>
    <row r="301" spans="1:11" x14ac:dyDescent="0.3">
      <c r="A301" s="64">
        <f ca="1">RANK(Table1[[#This Row],[Composite]],Table1[Composite])</f>
        <v>300</v>
      </c>
      <c r="B301" s="67" t="str">
        <f>'Adj Data'!A305</f>
        <v>Florida Atlantic</v>
      </c>
      <c r="C301" s="44">
        <f ca="1">'Adj Data'!G305</f>
        <v>61.672706950633035</v>
      </c>
      <c r="D301" s="44">
        <f ca="1">'Adj Data'!B305</f>
        <v>61.221392394977926</v>
      </c>
      <c r="E301" s="64">
        <f ca="1">RANK(Table1[[#This Row],[Kenpom]],Table1[Kenpom])</f>
        <v>299</v>
      </c>
      <c r="F301" s="44">
        <f ca="1">'Adj Data'!C305</f>
        <v>60.916728456921177</v>
      </c>
      <c r="G301" s="64">
        <f ca="1">RANK(Table1[[#This Row],[PVA]],Table1[PVA])</f>
        <v>308</v>
      </c>
      <c r="H301" s="44">
        <f ca="1">'Adj Data'!D305</f>
        <v>62.88</v>
      </c>
      <c r="I301" s="64">
        <f ca="1">RANK(Table1[[#This Row],[Sagarin]],Table1[Sagarin])</f>
        <v>290</v>
      </c>
      <c r="J301" s="44" t="str">
        <f ca="1">IFERROR(AVERAGE('Adj Data'!E305,'Adj Data'!F305),"")</f>
        <v/>
      </c>
      <c r="K301" s="64" t="str">
        <f ca="1">IFERROR(RANK(Table1[[#This Row],[Preseason]],Table1[Preseason]),"")</f>
        <v/>
      </c>
    </row>
    <row r="302" spans="1:11" x14ac:dyDescent="0.3">
      <c r="A302" s="64">
        <f ca="1">RANK(Table1[[#This Row],[Composite]],Table1[Composite])</f>
        <v>302</v>
      </c>
      <c r="B302" s="67" t="str">
        <f>'Adj Data'!A289</f>
        <v>Sacred Heart</v>
      </c>
      <c r="C302" s="44">
        <f ca="1">'Adj Data'!G289</f>
        <v>61.51475149896163</v>
      </c>
      <c r="D302" s="44">
        <f ca="1">'Adj Data'!B289</f>
        <v>61.806010824491175</v>
      </c>
      <c r="E302" s="64">
        <f ca="1">RANK(Table1[[#This Row],[Kenpom]],Table1[Kenpom])</f>
        <v>292</v>
      </c>
      <c r="F302" s="44">
        <f ca="1">'Adj Data'!C289</f>
        <v>60.658243672393695</v>
      </c>
      <c r="G302" s="64">
        <f ca="1">RANK(Table1[[#This Row],[PVA]],Table1[PVA])</f>
        <v>313</v>
      </c>
      <c r="H302" s="44">
        <f ca="1">'Adj Data'!D289</f>
        <v>62.08</v>
      </c>
      <c r="I302" s="64">
        <f ca="1">RANK(Table1[[#This Row],[Sagarin]],Table1[Sagarin])</f>
        <v>298</v>
      </c>
      <c r="J302" s="44" t="str">
        <f ca="1">IFERROR(AVERAGE('Adj Data'!E289,'Adj Data'!F289),"")</f>
        <v/>
      </c>
      <c r="K302" s="64" t="str">
        <f ca="1">IFERROR(RANK(Table1[[#This Row],[Preseason]],Table1[Preseason]),"")</f>
        <v/>
      </c>
    </row>
    <row r="303" spans="1:11" x14ac:dyDescent="0.3">
      <c r="A303" s="64">
        <f ca="1">RANK(Table1[[#This Row],[Composite]],Table1[Composite])</f>
        <v>303</v>
      </c>
      <c r="B303" s="67" t="str">
        <f>'Adj Data'!A291</f>
        <v>Marist</v>
      </c>
      <c r="C303" s="44">
        <f ca="1">'Adj Data'!G291</f>
        <v>61.241999524795666</v>
      </c>
      <c r="D303" s="44">
        <f ca="1">'Adj Data'!B291</f>
        <v>60.938512509729577</v>
      </c>
      <c r="E303" s="64">
        <f ca="1">RANK(Table1[[#This Row],[Kenpom]],Table1[Kenpom])</f>
        <v>302</v>
      </c>
      <c r="F303" s="44">
        <f ca="1">'Adj Data'!C291</f>
        <v>60.787486064657436</v>
      </c>
      <c r="G303" s="64">
        <f ca="1">RANK(Table1[[#This Row],[PVA]],Table1[PVA])</f>
        <v>310</v>
      </c>
      <c r="H303" s="44">
        <f ca="1">'Adj Data'!D291</f>
        <v>62</v>
      </c>
      <c r="I303" s="64">
        <f ca="1">RANK(Table1[[#This Row],[Sagarin]],Table1[Sagarin])</f>
        <v>300</v>
      </c>
      <c r="J303" s="44" t="str">
        <f ca="1">IFERROR(AVERAGE('Adj Data'!E291,'Adj Data'!F291),"")</f>
        <v/>
      </c>
      <c r="K303" s="64" t="str">
        <f ca="1">IFERROR(RANK(Table1[[#This Row],[Preseason]],Table1[Preseason]),"")</f>
        <v/>
      </c>
    </row>
    <row r="304" spans="1:11" x14ac:dyDescent="0.3">
      <c r="A304" s="64">
        <f ca="1">RANK(Table1[[#This Row],[Composite]],Table1[Composite])</f>
        <v>301</v>
      </c>
      <c r="B304" s="67" t="str">
        <f>'Adj Data'!A320</f>
        <v>Southern Miss</v>
      </c>
      <c r="C304" s="44">
        <f ca="1">'Adj Data'!G320</f>
        <v>61.550656966678446</v>
      </c>
      <c r="D304" s="44">
        <f ca="1">'Adj Data'!B320</f>
        <v>60.640545697267981</v>
      </c>
      <c r="E304" s="64">
        <f ca="1">RANK(Table1[[#This Row],[Kenpom]],Table1[Kenpom])</f>
        <v>310</v>
      </c>
      <c r="F304" s="44">
        <f ca="1">'Adj Data'!C320</f>
        <v>61.821425202767358</v>
      </c>
      <c r="G304" s="64">
        <f ca="1">RANK(Table1[[#This Row],[PVA]],Table1[PVA])</f>
        <v>296</v>
      </c>
      <c r="H304" s="44">
        <f ca="1">'Adj Data'!D320</f>
        <v>62.19</v>
      </c>
      <c r="I304" s="64">
        <f ca="1">RANK(Table1[[#This Row],[Sagarin]],Table1[Sagarin])</f>
        <v>295</v>
      </c>
      <c r="J304" s="44" t="str">
        <f ca="1">IFERROR(AVERAGE('Adj Data'!E320,'Adj Data'!F320),"")</f>
        <v/>
      </c>
      <c r="K304" s="64" t="str">
        <f ca="1">IFERROR(RANK(Table1[[#This Row],[Preseason]],Table1[Preseason]),"")</f>
        <v/>
      </c>
    </row>
    <row r="305" spans="1:11" x14ac:dyDescent="0.3">
      <c r="A305" s="64">
        <f ca="1">RANK(Table1[[#This Row],[Composite]],Table1[Composite])</f>
        <v>304</v>
      </c>
      <c r="B305" s="67" t="str">
        <f>'Adj Data'!A307</f>
        <v>Robert Morris</v>
      </c>
      <c r="C305" s="44">
        <f ca="1">'Adj Data'!G307</f>
        <v>61.175728599507586</v>
      </c>
      <c r="D305" s="44">
        <f ca="1">'Adj Data'!B307</f>
        <v>60.80273016481037</v>
      </c>
      <c r="E305" s="64">
        <f ca="1">RANK(Table1[[#This Row],[Kenpom]],Table1[Kenpom])</f>
        <v>306</v>
      </c>
      <c r="F305" s="44">
        <f ca="1">'Adj Data'!C307</f>
        <v>61.304455633712394</v>
      </c>
      <c r="G305" s="64">
        <f ca="1">RANK(Table1[[#This Row],[PVA]],Table1[PVA])</f>
        <v>304</v>
      </c>
      <c r="H305" s="44">
        <f ca="1">'Adj Data'!D307</f>
        <v>61.42</v>
      </c>
      <c r="I305" s="64">
        <f ca="1">RANK(Table1[[#This Row],[Sagarin]],Table1[Sagarin])</f>
        <v>307</v>
      </c>
      <c r="J305" s="44" t="str">
        <f ca="1">IFERROR(AVERAGE('Adj Data'!E307,'Adj Data'!F307),"")</f>
        <v/>
      </c>
      <c r="K305" s="64" t="str">
        <f ca="1">IFERROR(RANK(Table1[[#This Row],[Preseason]],Table1[Preseason]),"")</f>
        <v/>
      </c>
    </row>
    <row r="306" spans="1:11" x14ac:dyDescent="0.3">
      <c r="A306" s="64">
        <f ca="1">RANK(Table1[[#This Row],[Composite]],Table1[Composite])</f>
        <v>305</v>
      </c>
      <c r="B306" s="67" t="str">
        <f>'Adj Data'!A303</f>
        <v>Morgan State</v>
      </c>
      <c r="C306" s="44">
        <f ca="1">'Adj Data'!G303</f>
        <v>61.020266660925863</v>
      </c>
      <c r="D306" s="44">
        <f ca="1">'Adj Data'!B303</f>
        <v>60.772556310383877</v>
      </c>
      <c r="E306" s="64">
        <f ca="1">RANK(Table1[[#This Row],[Kenpom]],Table1[Kenpom])</f>
        <v>308</v>
      </c>
      <c r="F306" s="44">
        <f ca="1">'Adj Data'!C303</f>
        <v>60.658243672393695</v>
      </c>
      <c r="G306" s="64">
        <f ca="1">RANK(Table1[[#This Row],[PVA]],Table1[PVA])</f>
        <v>313</v>
      </c>
      <c r="H306" s="44">
        <f ca="1">'Adj Data'!D303</f>
        <v>61.63</v>
      </c>
      <c r="I306" s="64">
        <f ca="1">RANK(Table1[[#This Row],[Sagarin]],Table1[Sagarin])</f>
        <v>303</v>
      </c>
      <c r="J306" s="44" t="str">
        <f ca="1">IFERROR(AVERAGE('Adj Data'!E303,'Adj Data'!F303),"")</f>
        <v/>
      </c>
      <c r="K306" s="64" t="str">
        <f ca="1">IFERROR(RANK(Table1[[#This Row],[Preseason]],Table1[Preseason]),"")</f>
        <v/>
      </c>
    </row>
    <row r="307" spans="1:11" x14ac:dyDescent="0.3">
      <c r="A307" s="64">
        <f ca="1">RANK(Table1[[#This Row],[Composite]],Table1[Composite])</f>
        <v>306</v>
      </c>
      <c r="B307" s="67" t="str">
        <f>'Adj Data'!A294</f>
        <v>Bethune-Cookman</v>
      </c>
      <c r="C307" s="44">
        <f ca="1">'Adj Data'!G294</f>
        <v>60.950025180843078</v>
      </c>
      <c r="D307" s="44">
        <f ca="1">'Adj Data'!B294</f>
        <v>61.047892732025602</v>
      </c>
      <c r="E307" s="64">
        <f ca="1">RANK(Table1[[#This Row],[Kenpom]],Table1[Kenpom])</f>
        <v>300</v>
      </c>
      <c r="F307" s="44">
        <f ca="1">'Adj Data'!C294</f>
        <v>61.69218281050361</v>
      </c>
      <c r="G307" s="64">
        <f ca="1">RANK(Table1[[#This Row],[PVA]],Table1[PVA])</f>
        <v>298</v>
      </c>
      <c r="H307" s="44">
        <f ca="1">'Adj Data'!D294</f>
        <v>60.11</v>
      </c>
      <c r="I307" s="64">
        <f ca="1">RANK(Table1[[#This Row],[Sagarin]],Table1[Sagarin])</f>
        <v>315</v>
      </c>
      <c r="J307" s="44" t="str">
        <f ca="1">IFERROR(AVERAGE('Adj Data'!E294,'Adj Data'!F294),"")</f>
        <v/>
      </c>
      <c r="K307" s="64" t="str">
        <f ca="1">IFERROR(RANK(Table1[[#This Row],[Preseason]],Table1[Preseason]),"")</f>
        <v/>
      </c>
    </row>
    <row r="308" spans="1:11" x14ac:dyDescent="0.3">
      <c r="A308" s="64">
        <f ca="1">RANK(Table1[[#This Row],[Composite]],Table1[Composite])</f>
        <v>307</v>
      </c>
      <c r="B308" s="67" t="str">
        <f>'Adj Data'!A324</f>
        <v>N Colorado</v>
      </c>
      <c r="C308" s="44">
        <f ca="1">'Adj Data'!G324</f>
        <v>60.931595953648696</v>
      </c>
      <c r="D308" s="44">
        <f ca="1">'Adj Data'!B324</f>
        <v>60.301089834969964</v>
      </c>
      <c r="E308" s="64">
        <f ca="1">RANK(Table1[[#This Row],[Kenpom]],Table1[Kenpom])</f>
        <v>312</v>
      </c>
      <c r="F308" s="44">
        <f ca="1">'Adj Data'!C324</f>
        <v>61.433698025976135</v>
      </c>
      <c r="G308" s="64">
        <f ca="1">RANK(Table1[[#This Row],[PVA]],Table1[PVA])</f>
        <v>301</v>
      </c>
      <c r="H308" s="44">
        <f ca="1">'Adj Data'!D324</f>
        <v>61.06</v>
      </c>
      <c r="I308" s="64">
        <f ca="1">RANK(Table1[[#This Row],[Sagarin]],Table1[Sagarin])</f>
        <v>308</v>
      </c>
      <c r="J308" s="44" t="str">
        <f ca="1">IFERROR(AVERAGE('Adj Data'!E324,'Adj Data'!F324),"")</f>
        <v/>
      </c>
      <c r="K308" s="64" t="str">
        <f ca="1">IFERROR(RANK(Table1[[#This Row],[Preseason]],Table1[Preseason]),"")</f>
        <v/>
      </c>
    </row>
    <row r="309" spans="1:11" x14ac:dyDescent="0.3">
      <c r="A309" s="64">
        <f ca="1">RANK(Table1[[#This Row],[Composite]],Table1[Composite])</f>
        <v>309</v>
      </c>
      <c r="B309" s="67" t="str">
        <f>'Adj Data'!A309</f>
        <v>VMI</v>
      </c>
      <c r="C309" s="44">
        <f ca="1">'Adj Data'!G309</f>
        <v>60.721138022239813</v>
      </c>
      <c r="D309" s="44">
        <f ca="1">'Adj Data'!B309</f>
        <v>60.798958433007058</v>
      </c>
      <c r="E309" s="64">
        <f ca="1">RANK(Table1[[#This Row],[Kenpom]],Table1[Kenpom])</f>
        <v>307</v>
      </c>
      <c r="F309" s="44">
        <f ca="1">'Adj Data'!C309</f>
        <v>61.304455633712394</v>
      </c>
      <c r="G309" s="64">
        <f ca="1">RANK(Table1[[#This Row],[PVA]],Table1[PVA])</f>
        <v>304</v>
      </c>
      <c r="H309" s="44">
        <f ca="1">'Adj Data'!D309</f>
        <v>60.06</v>
      </c>
      <c r="I309" s="64">
        <f ca="1">RANK(Table1[[#This Row],[Sagarin]],Table1[Sagarin])</f>
        <v>317</v>
      </c>
      <c r="J309" s="44" t="str">
        <f ca="1">IFERROR(AVERAGE('Adj Data'!E309,'Adj Data'!F309),"")</f>
        <v/>
      </c>
      <c r="K309" s="64" t="str">
        <f ca="1">IFERROR(RANK(Table1[[#This Row],[Preseason]],Table1[Preseason]),"")</f>
        <v/>
      </c>
    </row>
    <row r="310" spans="1:11" x14ac:dyDescent="0.3">
      <c r="A310" s="64">
        <f ca="1">RANK(Table1[[#This Row],[Composite]],Table1[Composite])</f>
        <v>308</v>
      </c>
      <c r="B310" s="67" t="str">
        <f>'Adj Data'!A317</f>
        <v>American</v>
      </c>
      <c r="C310" s="44">
        <f ca="1">'Adj Data'!G317</f>
        <v>60.812876321735622</v>
      </c>
      <c r="D310" s="44">
        <f ca="1">'Adj Data'!B317</f>
        <v>60.961142900549447</v>
      </c>
      <c r="E310" s="64">
        <f ca="1">RANK(Table1[[#This Row],[Kenpom]],Table1[Kenpom])</f>
        <v>301</v>
      </c>
      <c r="F310" s="44">
        <f ca="1">'Adj Data'!C317</f>
        <v>60.787486064657436</v>
      </c>
      <c r="G310" s="64">
        <f ca="1">RANK(Table1[[#This Row],[PVA]],Table1[PVA])</f>
        <v>310</v>
      </c>
      <c r="H310" s="44">
        <f ca="1">'Adj Data'!D317</f>
        <v>60.69</v>
      </c>
      <c r="I310" s="64">
        <f ca="1">RANK(Table1[[#This Row],[Sagarin]],Table1[Sagarin])</f>
        <v>311</v>
      </c>
      <c r="J310" s="44" t="str">
        <f ca="1">IFERROR(AVERAGE('Adj Data'!E317,'Adj Data'!F317),"")</f>
        <v/>
      </c>
      <c r="K310" s="64" t="str">
        <f ca="1">IFERROR(RANK(Table1[[#This Row],[Preseason]],Table1[Preseason]),"")</f>
        <v/>
      </c>
    </row>
    <row r="311" spans="1:11" x14ac:dyDescent="0.3">
      <c r="A311" s="64">
        <f ca="1">RANK(Table1[[#This Row],[Composite]],Table1[Composite])</f>
        <v>310</v>
      </c>
      <c r="B311" s="67" t="str">
        <f>'Adj Data'!A325</f>
        <v>SIU ED</v>
      </c>
      <c r="C311" s="44">
        <f ca="1">'Adj Data'!G325</f>
        <v>60.57385108833099</v>
      </c>
      <c r="D311" s="44">
        <f ca="1">'Adj Data'!B325</f>
        <v>59.641036769390482</v>
      </c>
      <c r="E311" s="64">
        <f ca="1">RANK(Table1[[#This Row],[Kenpom]],Table1[Kenpom])</f>
        <v>321</v>
      </c>
      <c r="F311" s="44">
        <f ca="1">'Adj Data'!C325</f>
        <v>60.270516495602479</v>
      </c>
      <c r="G311" s="64">
        <f ca="1">RANK(Table1[[#This Row],[PVA]],Table1[PVA])</f>
        <v>319</v>
      </c>
      <c r="H311" s="44">
        <f ca="1">'Adj Data'!D325</f>
        <v>61.81</v>
      </c>
      <c r="I311" s="64">
        <f ca="1">RANK(Table1[[#This Row],[Sagarin]],Table1[Sagarin])</f>
        <v>302</v>
      </c>
      <c r="J311" s="44" t="str">
        <f ca="1">IFERROR(AVERAGE('Adj Data'!E325,'Adj Data'!F325),"")</f>
        <v/>
      </c>
      <c r="K311" s="64" t="str">
        <f ca="1">IFERROR(RANK(Table1[[#This Row],[Preseason]],Table1[Preseason]),"")</f>
        <v/>
      </c>
    </row>
    <row r="312" spans="1:11" x14ac:dyDescent="0.3">
      <c r="A312" s="64">
        <f ca="1">RANK(Table1[[#This Row],[Composite]],Table1[Composite])</f>
        <v>311</v>
      </c>
      <c r="B312" s="67" t="str">
        <f>'Adj Data'!A301</f>
        <v>Alabama A&amp;M</v>
      </c>
      <c r="C312" s="44">
        <f ca="1">'Adj Data'!G301</f>
        <v>60.526523183940149</v>
      </c>
      <c r="D312" s="44">
        <f ca="1">'Adj Data'!B301</f>
        <v>60.210568271690491</v>
      </c>
      <c r="E312" s="64">
        <f ca="1">RANK(Table1[[#This Row],[Kenpom]],Table1[Kenpom])</f>
        <v>313</v>
      </c>
      <c r="F312" s="44">
        <f ca="1">'Adj Data'!C301</f>
        <v>60.529001280129961</v>
      </c>
      <c r="G312" s="64">
        <f ca="1">RANK(Table1[[#This Row],[PVA]],Table1[PVA])</f>
        <v>315</v>
      </c>
      <c r="H312" s="44">
        <f ca="1">'Adj Data'!D301</f>
        <v>60.84</v>
      </c>
      <c r="I312" s="64">
        <f ca="1">RANK(Table1[[#This Row],[Sagarin]],Table1[Sagarin])</f>
        <v>309</v>
      </c>
      <c r="J312" s="44" t="str">
        <f ca="1">IFERROR(AVERAGE('Adj Data'!E301,'Adj Data'!F301),"")</f>
        <v/>
      </c>
      <c r="K312" s="64" t="str">
        <f ca="1">IFERROR(RANK(Table1[[#This Row],[Preseason]],Table1[Preseason]),"")</f>
        <v/>
      </c>
    </row>
    <row r="313" spans="1:11" x14ac:dyDescent="0.3">
      <c r="A313" s="64">
        <f ca="1">RANK(Table1[[#This Row],[Composite]],Table1[Composite])</f>
        <v>312</v>
      </c>
      <c r="B313" s="67" t="str">
        <f>'Adj Data'!A311</f>
        <v>SE Louisiana</v>
      </c>
      <c r="C313" s="44">
        <f ca="1">'Adj Data'!G311</f>
        <v>60.466845679459141</v>
      </c>
      <c r="D313" s="44">
        <f ca="1">'Adj Data'!B311</f>
        <v>60.161535758247446</v>
      </c>
      <c r="E313" s="64">
        <f ca="1">RANK(Table1[[#This Row],[Kenpom]],Table1[Kenpom])</f>
        <v>315</v>
      </c>
      <c r="F313" s="44">
        <f ca="1">'Adj Data'!C311</f>
        <v>60.529001280129961</v>
      </c>
      <c r="G313" s="64">
        <f ca="1">RANK(Table1[[#This Row],[PVA]],Table1[PVA])</f>
        <v>315</v>
      </c>
      <c r="H313" s="44">
        <f ca="1">'Adj Data'!D311</f>
        <v>60.71</v>
      </c>
      <c r="I313" s="64">
        <f ca="1">RANK(Table1[[#This Row],[Sagarin]],Table1[Sagarin])</f>
        <v>310</v>
      </c>
      <c r="J313" s="44" t="str">
        <f ca="1">IFERROR(AVERAGE('Adj Data'!E311,'Adj Data'!F311),"")</f>
        <v/>
      </c>
      <c r="K313" s="64" t="str">
        <f ca="1">IFERROR(RANK(Table1[[#This Row],[Preseason]],Table1[Preseason]),"")</f>
        <v/>
      </c>
    </row>
    <row r="314" spans="1:11" x14ac:dyDescent="0.3">
      <c r="A314" s="64">
        <f ca="1">RANK(Table1[[#This Row],[Composite]],Table1[Composite])</f>
        <v>317</v>
      </c>
      <c r="B314" s="67" t="str">
        <f>'Adj Data'!A323</f>
        <v>Niagara</v>
      </c>
      <c r="C314" s="44">
        <f ca="1">'Adj Data'!G323</f>
        <v>60.182175039057263</v>
      </c>
      <c r="D314" s="44">
        <f ca="1">'Adj Data'!B323</f>
        <v>59.576917328734197</v>
      </c>
      <c r="E314" s="64">
        <f ca="1">RANK(Table1[[#This Row],[Kenpom]],Table1[Kenpom])</f>
        <v>323</v>
      </c>
      <c r="F314" s="44">
        <f ca="1">'Adj Data'!C323</f>
        <v>58.7196077884376</v>
      </c>
      <c r="G314" s="64">
        <f ca="1">RANK(Table1[[#This Row],[PVA]],Table1[PVA])</f>
        <v>331</v>
      </c>
      <c r="H314" s="44">
        <f ca="1">'Adj Data'!D323</f>
        <v>62.25</v>
      </c>
      <c r="I314" s="64">
        <f ca="1">RANK(Table1[[#This Row],[Sagarin]],Table1[Sagarin])</f>
        <v>294</v>
      </c>
      <c r="J314" s="44" t="str">
        <f ca="1">IFERROR(AVERAGE('Adj Data'!E323,'Adj Data'!F323),"")</f>
        <v/>
      </c>
      <c r="K314" s="64" t="str">
        <f ca="1">IFERROR(RANK(Table1[[#This Row],[Preseason]],Table1[Preseason]),"")</f>
        <v/>
      </c>
    </row>
    <row r="315" spans="1:11" x14ac:dyDescent="0.3">
      <c r="A315" s="64">
        <f ca="1">RANK(Table1[[#This Row],[Composite]],Table1[Composite])</f>
        <v>313</v>
      </c>
      <c r="B315" s="67" t="str">
        <f>'Adj Data'!A312</f>
        <v>New Orleans</v>
      </c>
      <c r="C315" s="44">
        <f ca="1">'Adj Data'!G312</f>
        <v>60.376521986868958</v>
      </c>
      <c r="D315" s="44">
        <f ca="1">'Adj Data'!B312</f>
        <v>59.822079895949429</v>
      </c>
      <c r="E315" s="64">
        <f ca="1">RANK(Table1[[#This Row],[Kenpom]],Table1[Kenpom])</f>
        <v>318</v>
      </c>
      <c r="F315" s="44">
        <f ca="1">'Adj Data'!C312</f>
        <v>60.787486064657436</v>
      </c>
      <c r="G315" s="64">
        <f ca="1">RANK(Table1[[#This Row],[PVA]],Table1[PVA])</f>
        <v>310</v>
      </c>
      <c r="H315" s="44">
        <f ca="1">'Adj Data'!D312</f>
        <v>60.52</v>
      </c>
      <c r="I315" s="64">
        <f ca="1">RANK(Table1[[#This Row],[Sagarin]],Table1[Sagarin])</f>
        <v>313</v>
      </c>
      <c r="J315" s="44" t="str">
        <f ca="1">IFERROR(AVERAGE('Adj Data'!E312,'Adj Data'!F312),"")</f>
        <v/>
      </c>
      <c r="K315" s="64" t="str">
        <f ca="1">IFERROR(RANK(Table1[[#This Row],[Preseason]],Table1[Preseason]),"")</f>
        <v/>
      </c>
    </row>
    <row r="316" spans="1:11" x14ac:dyDescent="0.3">
      <c r="A316" s="64">
        <f ca="1">RANK(Table1[[#This Row],[Composite]],Table1[Composite])</f>
        <v>314</v>
      </c>
      <c r="B316" s="67" t="str">
        <f>'Adj Data'!A313</f>
        <v>UMass Lowell</v>
      </c>
      <c r="C316" s="44">
        <f ca="1">'Adj Data'!G313</f>
        <v>60.364941355305227</v>
      </c>
      <c r="D316" s="44">
        <f ca="1">'Adj Data'!B313</f>
        <v>60.68203474710441</v>
      </c>
      <c r="E316" s="64">
        <f ca="1">RANK(Table1[[#This Row],[Kenpom]],Table1[Kenpom])</f>
        <v>309</v>
      </c>
      <c r="F316" s="44">
        <f ca="1">'Adj Data'!C313</f>
        <v>59.882789318811263</v>
      </c>
      <c r="G316" s="64">
        <f ca="1">RANK(Table1[[#This Row],[PVA]],Table1[PVA])</f>
        <v>323</v>
      </c>
      <c r="H316" s="44">
        <f ca="1">'Adj Data'!D313</f>
        <v>60.53</v>
      </c>
      <c r="I316" s="64">
        <f ca="1">RANK(Table1[[#This Row],[Sagarin]],Table1[Sagarin])</f>
        <v>312</v>
      </c>
      <c r="J316" s="44" t="str">
        <f ca="1">IFERROR(AVERAGE('Adj Data'!E313,'Adj Data'!F313),"")</f>
        <v/>
      </c>
      <c r="K316" s="64" t="str">
        <f ca="1">IFERROR(RANK(Table1[[#This Row],[Preseason]],Table1[Preseason]),"")</f>
        <v/>
      </c>
    </row>
    <row r="317" spans="1:11" x14ac:dyDescent="0.3">
      <c r="A317" s="64">
        <f ca="1">RANK(Table1[[#This Row],[Composite]],Table1[Composite])</f>
        <v>316</v>
      </c>
      <c r="B317" s="67" t="str">
        <f>'Adj Data'!A316</f>
        <v>Abiline Christian</v>
      </c>
      <c r="C317" s="44">
        <f ca="1">'Adj Data'!G316</f>
        <v>60.289329518368014</v>
      </c>
      <c r="D317" s="44">
        <f ca="1">'Adj Data'!B316</f>
        <v>59.942775313655389</v>
      </c>
      <c r="E317" s="64">
        <f ca="1">RANK(Table1[[#This Row],[Kenpom]],Table1[Kenpom])</f>
        <v>317</v>
      </c>
      <c r="F317" s="44">
        <f ca="1">'Adj Data'!C316</f>
        <v>61.17521324144866</v>
      </c>
      <c r="G317" s="64">
        <f ca="1">RANK(Table1[[#This Row],[PVA]],Table1[PVA])</f>
        <v>307</v>
      </c>
      <c r="H317" s="44">
        <f ca="1">'Adj Data'!D316</f>
        <v>59.75</v>
      </c>
      <c r="I317" s="64">
        <f ca="1">RANK(Table1[[#This Row],[Sagarin]],Table1[Sagarin])</f>
        <v>319</v>
      </c>
      <c r="J317" s="44" t="str">
        <f ca="1">IFERROR(AVERAGE('Adj Data'!E316,'Adj Data'!F316),"")</f>
        <v/>
      </c>
      <c r="K317" s="64" t="str">
        <f ca="1">IFERROR(RANK(Table1[[#This Row],[Preseason]],Table1[Preseason]),"")</f>
        <v/>
      </c>
    </row>
    <row r="318" spans="1:11" x14ac:dyDescent="0.3">
      <c r="A318" s="64">
        <f ca="1">RANK(Table1[[#This Row],[Composite]],Table1[Composite])</f>
        <v>315</v>
      </c>
      <c r="B318" s="67" t="str">
        <f>'Adj Data'!A315</f>
        <v>Lamar</v>
      </c>
      <c r="C318" s="44">
        <f ca="1">'Adj Data'!G315</f>
        <v>60.300991225559734</v>
      </c>
      <c r="D318" s="44">
        <f ca="1">'Adj Data'!B315</f>
        <v>59.769275650703072</v>
      </c>
      <c r="E318" s="64">
        <f ca="1">RANK(Table1[[#This Row],[Kenpom]],Table1[Kenpom])</f>
        <v>320</v>
      </c>
      <c r="F318" s="44">
        <f ca="1">'Adj Data'!C315</f>
        <v>61.433698025976135</v>
      </c>
      <c r="G318" s="64">
        <f ca="1">RANK(Table1[[#This Row],[PVA]],Table1[PVA])</f>
        <v>301</v>
      </c>
      <c r="H318" s="44">
        <f ca="1">'Adj Data'!D315</f>
        <v>59.7</v>
      </c>
      <c r="I318" s="64">
        <f ca="1">RANK(Table1[[#This Row],[Sagarin]],Table1[Sagarin])</f>
        <v>321</v>
      </c>
      <c r="J318" s="44" t="str">
        <f ca="1">IFERROR(AVERAGE('Adj Data'!E315,'Adj Data'!F315),"")</f>
        <v/>
      </c>
      <c r="K318" s="64" t="str">
        <f ca="1">IFERROR(RANK(Table1[[#This Row],[Preseason]],Table1[Preseason]),"")</f>
        <v/>
      </c>
    </row>
    <row r="319" spans="1:11" x14ac:dyDescent="0.3">
      <c r="A319" s="64">
        <f ca="1">RANK(Table1[[#This Row],[Composite]],Table1[Composite])</f>
        <v>318</v>
      </c>
      <c r="B319" s="67" t="str">
        <f>'Adj Data'!A321</f>
        <v>MD Eastern Shore</v>
      </c>
      <c r="C319" s="44">
        <f ca="1">'Adj Data'!G321</f>
        <v>60.019526252177904</v>
      </c>
      <c r="D319" s="44">
        <f ca="1">'Adj Data'!B321</f>
        <v>59.946547045458701</v>
      </c>
      <c r="E319" s="64">
        <f ca="1">RANK(Table1[[#This Row],[Kenpom]],Table1[Kenpom])</f>
        <v>316</v>
      </c>
      <c r="F319" s="44">
        <f ca="1">'Adj Data'!C321</f>
        <v>60.012031711074997</v>
      </c>
      <c r="G319" s="64">
        <f ca="1">RANK(Table1[[#This Row],[PVA]],Table1[PVA])</f>
        <v>322</v>
      </c>
      <c r="H319" s="44">
        <f ca="1">'Adj Data'!D321</f>
        <v>60.1</v>
      </c>
      <c r="I319" s="64">
        <f ca="1">RANK(Table1[[#This Row],[Sagarin]],Table1[Sagarin])</f>
        <v>316</v>
      </c>
      <c r="J319" s="44" t="str">
        <f ca="1">IFERROR(AVERAGE('Adj Data'!E321,'Adj Data'!F321),"")</f>
        <v/>
      </c>
      <c r="K319" s="64" t="str">
        <f ca="1">IFERROR(RANK(Table1[[#This Row],[Preseason]],Table1[Preseason]),"")</f>
        <v/>
      </c>
    </row>
    <row r="320" spans="1:11" x14ac:dyDescent="0.3">
      <c r="A320" s="64">
        <f ca="1">RANK(Table1[[#This Row],[Composite]],Table1[Composite])</f>
        <v>319</v>
      </c>
      <c r="B320" s="67" t="str">
        <f>'Adj Data'!A299</f>
        <v>Alcorn State</v>
      </c>
      <c r="C320" s="44">
        <f ca="1">'Adj Data'!G299</f>
        <v>59.988989884052522</v>
      </c>
      <c r="D320" s="44">
        <f ca="1">'Adj Data'!B299</f>
        <v>61.277968372027594</v>
      </c>
      <c r="E320" s="64">
        <f ca="1">RANK(Table1[[#This Row],[Kenpom]],Table1[Kenpom])</f>
        <v>298</v>
      </c>
      <c r="F320" s="44">
        <f ca="1">'Adj Data'!C299</f>
        <v>60.529001280129961</v>
      </c>
      <c r="G320" s="64">
        <f ca="1">RANK(Table1[[#This Row],[PVA]],Table1[PVA])</f>
        <v>315</v>
      </c>
      <c r="H320" s="44">
        <f ca="1">'Adj Data'!D299</f>
        <v>58.16</v>
      </c>
      <c r="I320" s="64">
        <f ca="1">RANK(Table1[[#This Row],[Sagarin]],Table1[Sagarin])</f>
        <v>334</v>
      </c>
      <c r="J320" s="44" t="str">
        <f ca="1">IFERROR(AVERAGE('Adj Data'!E299,'Adj Data'!F299),"")</f>
        <v/>
      </c>
      <c r="K320" s="64" t="str">
        <f ca="1">IFERROR(RANK(Table1[[#This Row],[Preseason]],Table1[Preseason]),"")</f>
        <v/>
      </c>
    </row>
    <row r="321" spans="1:11" x14ac:dyDescent="0.3">
      <c r="A321" s="64">
        <f ca="1">RANK(Table1[[#This Row],[Composite]],Table1[Composite])</f>
        <v>323</v>
      </c>
      <c r="B321" s="67" t="str">
        <f>'Adj Data'!A310</f>
        <v>Savannah State</v>
      </c>
      <c r="C321" s="44">
        <f ca="1">'Adj Data'!G310</f>
        <v>59.672810295722648</v>
      </c>
      <c r="D321" s="44">
        <f ca="1">'Adj Data'!B310</f>
        <v>59.414732861191808</v>
      </c>
      <c r="E321" s="64">
        <f ca="1">RANK(Table1[[#This Row],[Kenpom]],Table1[Kenpom])</f>
        <v>325</v>
      </c>
      <c r="F321" s="44">
        <f ca="1">'Adj Data'!C310</f>
        <v>61.433698025976135</v>
      </c>
      <c r="G321" s="64">
        <f ca="1">RANK(Table1[[#This Row],[PVA]],Table1[PVA])</f>
        <v>301</v>
      </c>
      <c r="H321" s="44">
        <f ca="1">'Adj Data'!D310</f>
        <v>58.17</v>
      </c>
      <c r="I321" s="64">
        <f ca="1">RANK(Table1[[#This Row],[Sagarin]],Table1[Sagarin])</f>
        <v>333</v>
      </c>
      <c r="J321" s="44" t="str">
        <f ca="1">IFERROR(AVERAGE('Adj Data'!E310,'Adj Data'!F310),"")</f>
        <v/>
      </c>
      <c r="K321" s="64" t="str">
        <f ca="1">IFERROR(RANK(Table1[[#This Row],[Preseason]],Table1[Preseason]),"")</f>
        <v/>
      </c>
    </row>
    <row r="322" spans="1:11" x14ac:dyDescent="0.3">
      <c r="A322" s="64">
        <f ca="1">RANK(Table1[[#This Row],[Composite]],Table1[Composite])</f>
        <v>320</v>
      </c>
      <c r="B322" s="67" t="str">
        <f>'Adj Data'!A314</f>
        <v>The Citadel</v>
      </c>
      <c r="C322" s="44">
        <f ca="1">'Adj Data'!G314</f>
        <v>59.735291153339716</v>
      </c>
      <c r="D322" s="44">
        <f ca="1">'Adj Data'!B314</f>
        <v>60.436872179889171</v>
      </c>
      <c r="E322" s="64">
        <f ca="1">RANK(Table1[[#This Row],[Kenpom]],Table1[Kenpom])</f>
        <v>311</v>
      </c>
      <c r="F322" s="44">
        <f ca="1">'Adj Data'!C314</f>
        <v>60.529001280129961</v>
      </c>
      <c r="G322" s="64">
        <f ca="1">RANK(Table1[[#This Row],[PVA]],Table1[PVA])</f>
        <v>315</v>
      </c>
      <c r="H322" s="44">
        <f ca="1">'Adj Data'!D314</f>
        <v>58.24</v>
      </c>
      <c r="I322" s="64">
        <f ca="1">RANK(Table1[[#This Row],[Sagarin]],Table1[Sagarin])</f>
        <v>332</v>
      </c>
      <c r="J322" s="44" t="str">
        <f ca="1">IFERROR(AVERAGE('Adj Data'!E314,'Adj Data'!F314),"")</f>
        <v/>
      </c>
      <c r="K322" s="64" t="str">
        <f ca="1">IFERROR(RANK(Table1[[#This Row],[Preseason]],Table1[Preseason]),"")</f>
        <v/>
      </c>
    </row>
    <row r="323" spans="1:11" x14ac:dyDescent="0.3">
      <c r="A323" s="64">
        <f ca="1">RANK(Table1[[#This Row],[Composite]],Table1[Composite])</f>
        <v>324</v>
      </c>
      <c r="B323" s="67" t="str">
        <f>'Adj Data'!A328</f>
        <v>Presbyterian</v>
      </c>
      <c r="C323" s="44">
        <f ca="1">'Adj Data'!G328</f>
        <v>59.664067294887992</v>
      </c>
      <c r="D323" s="44">
        <f ca="1">'Adj Data'!B328</f>
        <v>58.675473427742794</v>
      </c>
      <c r="E323" s="64">
        <f ca="1">RANK(Table1[[#This Row],[Kenpom]],Table1[Kenpom])</f>
        <v>332</v>
      </c>
      <c r="F323" s="44">
        <f ca="1">'Adj Data'!C328</f>
        <v>60.916728456921177</v>
      </c>
      <c r="G323" s="64">
        <f ca="1">RANK(Table1[[#This Row],[PVA]],Table1[PVA])</f>
        <v>308</v>
      </c>
      <c r="H323" s="44">
        <f ca="1">'Adj Data'!D328</f>
        <v>59.4</v>
      </c>
      <c r="I323" s="64">
        <f ca="1">RANK(Table1[[#This Row],[Sagarin]],Table1[Sagarin])</f>
        <v>325</v>
      </c>
      <c r="J323" s="44" t="str">
        <f ca="1">IFERROR(AVERAGE('Adj Data'!E328,'Adj Data'!F328),"")</f>
        <v/>
      </c>
      <c r="K323" s="64" t="str">
        <f ca="1">IFERROR(RANK(Table1[[#This Row],[Preseason]],Table1[Preseason]),"")</f>
        <v/>
      </c>
    </row>
    <row r="324" spans="1:11" x14ac:dyDescent="0.3">
      <c r="A324" s="64">
        <f ca="1">RANK(Table1[[#This Row],[Composite]],Table1[Composite])</f>
        <v>321</v>
      </c>
      <c r="B324" s="67" t="str">
        <f>'Adj Data'!A318</f>
        <v>USC Upstate</v>
      </c>
      <c r="C324" s="44">
        <f ca="1">'Adj Data'!G318</f>
        <v>59.728670185248042</v>
      </c>
      <c r="D324" s="44">
        <f ca="1">'Adj Data'!B318</f>
        <v>59.80322123693287</v>
      </c>
      <c r="E324" s="64">
        <f ca="1">RANK(Table1[[#This Row],[Kenpom]],Table1[Kenpom])</f>
        <v>319</v>
      </c>
      <c r="F324" s="44">
        <f ca="1">'Adj Data'!C318</f>
        <v>59.882789318811263</v>
      </c>
      <c r="G324" s="64">
        <f ca="1">RANK(Table1[[#This Row],[PVA]],Table1[PVA])</f>
        <v>323</v>
      </c>
      <c r="H324" s="44">
        <f ca="1">'Adj Data'!D318</f>
        <v>59.5</v>
      </c>
      <c r="I324" s="64">
        <f ca="1">RANK(Table1[[#This Row],[Sagarin]],Table1[Sagarin])</f>
        <v>323</v>
      </c>
      <c r="J324" s="44" t="str">
        <f ca="1">IFERROR(AVERAGE('Adj Data'!E318,'Adj Data'!F318),"")</f>
        <v/>
      </c>
      <c r="K324" s="64" t="str">
        <f ca="1">IFERROR(RANK(Table1[[#This Row],[Preseason]],Table1[Preseason]),"")</f>
        <v/>
      </c>
    </row>
    <row r="325" spans="1:11" x14ac:dyDescent="0.3">
      <c r="A325" s="64">
        <f ca="1">RANK(Table1[[#This Row],[Composite]],Table1[Composite])</f>
        <v>322</v>
      </c>
      <c r="B325" s="67" t="str">
        <f>'Adj Data'!A331</f>
        <v>Hartford</v>
      </c>
      <c r="C325" s="44">
        <f ca="1">'Adj Data'!G331</f>
        <v>59.68320072185881</v>
      </c>
      <c r="D325" s="44">
        <f ca="1">'Adj Data'!B331</f>
        <v>60.203024808083867</v>
      </c>
      <c r="E325" s="64">
        <f ca="1">RANK(Table1[[#This Row],[Kenpom]],Table1[Kenpom])</f>
        <v>314</v>
      </c>
      <c r="F325" s="44">
        <f ca="1">'Adj Data'!C331</f>
        <v>59.236577357492564</v>
      </c>
      <c r="G325" s="64">
        <f ca="1">RANK(Table1[[#This Row],[PVA]],Table1[PVA])</f>
        <v>328</v>
      </c>
      <c r="H325" s="44">
        <f ca="1">'Adj Data'!D331</f>
        <v>59.61</v>
      </c>
      <c r="I325" s="64">
        <f ca="1">RANK(Table1[[#This Row],[Sagarin]],Table1[Sagarin])</f>
        <v>322</v>
      </c>
      <c r="J325" s="44" t="str">
        <f ca="1">IFERROR(AVERAGE('Adj Data'!E331,'Adj Data'!F331),"")</f>
        <v/>
      </c>
      <c r="K325" s="64" t="str">
        <f ca="1">IFERROR(RANK(Table1[[#This Row],[Preseason]],Table1[Preseason]),"")</f>
        <v/>
      </c>
    </row>
    <row r="326" spans="1:11" x14ac:dyDescent="0.3">
      <c r="A326" s="64">
        <f ca="1">RANK(Table1[[#This Row],[Composite]],Table1[Composite])</f>
        <v>326</v>
      </c>
      <c r="B326" s="67" t="str">
        <f>'Adj Data'!A329</f>
        <v>Howard</v>
      </c>
      <c r="C326" s="44">
        <f ca="1">'Adj Data'!G329</f>
        <v>59.44936625029522</v>
      </c>
      <c r="D326" s="44">
        <f ca="1">'Adj Data'!B329</f>
        <v>58.607582255283191</v>
      </c>
      <c r="E326" s="64">
        <f ca="1">RANK(Table1[[#This Row],[Kenpom]],Table1[Kenpom])</f>
        <v>333</v>
      </c>
      <c r="F326" s="44">
        <f ca="1">'Adj Data'!C329</f>
        <v>60.270516495602479</v>
      </c>
      <c r="G326" s="64">
        <f ca="1">RANK(Table1[[#This Row],[PVA]],Table1[PVA])</f>
        <v>319</v>
      </c>
      <c r="H326" s="44">
        <f ca="1">'Adj Data'!D329</f>
        <v>59.47</v>
      </c>
      <c r="I326" s="64">
        <f ca="1">RANK(Table1[[#This Row],[Sagarin]],Table1[Sagarin])</f>
        <v>324</v>
      </c>
      <c r="J326" s="44" t="str">
        <f ca="1">IFERROR(AVERAGE('Adj Data'!E329,'Adj Data'!F329),"")</f>
        <v/>
      </c>
      <c r="K326" s="64" t="str">
        <f ca="1">IFERROR(RANK(Table1[[#This Row],[Preseason]],Table1[Preseason]),"")</f>
        <v/>
      </c>
    </row>
    <row r="327" spans="1:11" x14ac:dyDescent="0.3">
      <c r="A327" s="64">
        <f ca="1">RANK(Table1[[#This Row],[Composite]],Table1[Composite])</f>
        <v>325</v>
      </c>
      <c r="B327" s="67" t="str">
        <f>'Adj Data'!A306</f>
        <v>Central Arkansas</v>
      </c>
      <c r="C327" s="44">
        <f ca="1">'Adj Data'!G306</f>
        <v>59.47717993834042</v>
      </c>
      <c r="D327" s="44">
        <f ca="1">'Adj Data'!B306</f>
        <v>59.290265711682537</v>
      </c>
      <c r="E327" s="64">
        <f ca="1">RANK(Table1[[#This Row],[Kenpom]],Table1[Kenpom])</f>
        <v>327</v>
      </c>
      <c r="F327" s="44">
        <f ca="1">'Adj Data'!C306</f>
        <v>60.141274103338738</v>
      </c>
      <c r="G327" s="64">
        <f ca="1">RANK(Table1[[#This Row],[PVA]],Table1[PVA])</f>
        <v>321</v>
      </c>
      <c r="H327" s="44">
        <f ca="1">'Adj Data'!D306</f>
        <v>59</v>
      </c>
      <c r="I327" s="64">
        <f ca="1">RANK(Table1[[#This Row],[Sagarin]],Table1[Sagarin])</f>
        <v>328</v>
      </c>
      <c r="J327" s="44" t="str">
        <f ca="1">IFERROR(AVERAGE('Adj Data'!E306,'Adj Data'!F306),"")</f>
        <v/>
      </c>
      <c r="K327" s="64" t="str">
        <f ca="1">IFERROR(RANK(Table1[[#This Row],[Preseason]],Table1[Preseason]),"")</f>
        <v/>
      </c>
    </row>
    <row r="328" spans="1:11" x14ac:dyDescent="0.3">
      <c r="A328" s="64">
        <f ca="1">RANK(Table1[[#This Row],[Composite]],Table1[Composite])</f>
        <v>328</v>
      </c>
      <c r="B328" s="67" t="str">
        <f>'Adj Data'!A327</f>
        <v>Binghamton</v>
      </c>
      <c r="C328" s="44">
        <f ca="1">'Adj Data'!G327</f>
        <v>59.406513080412942</v>
      </c>
      <c r="D328" s="44">
        <f ca="1">'Adj Data'!B327</f>
        <v>59.580689060537509</v>
      </c>
      <c r="E328" s="64">
        <f ca="1">RANK(Table1[[#This Row],[Kenpom]],Table1[Kenpom])</f>
        <v>322</v>
      </c>
      <c r="F328" s="44">
        <f ca="1">'Adj Data'!C327</f>
        <v>58.848850180701341</v>
      </c>
      <c r="G328" s="64">
        <f ca="1">RANK(Table1[[#This Row],[PVA]],Table1[PVA])</f>
        <v>330</v>
      </c>
      <c r="H328" s="44">
        <f ca="1">'Adj Data'!D327</f>
        <v>59.79</v>
      </c>
      <c r="I328" s="64">
        <f ca="1">RANK(Table1[[#This Row],[Sagarin]],Table1[Sagarin])</f>
        <v>318</v>
      </c>
      <c r="J328" s="44" t="str">
        <f ca="1">IFERROR(AVERAGE('Adj Data'!E327,'Adj Data'!F327),"")</f>
        <v/>
      </c>
      <c r="K328" s="64" t="str">
        <f ca="1">IFERROR(RANK(Table1[[#This Row],[Preseason]],Table1[Preseason]),"")</f>
        <v/>
      </c>
    </row>
    <row r="329" spans="1:11" x14ac:dyDescent="0.3">
      <c r="A329" s="64">
        <f ca="1">RANK(Table1[[#This Row],[Composite]],Table1[Composite])</f>
        <v>327</v>
      </c>
      <c r="B329" s="67" t="str">
        <f>'Adj Data'!A338</f>
        <v>Bradley</v>
      </c>
      <c r="C329" s="44">
        <f ca="1">'Adj Data'!G338</f>
        <v>59.422216194116579</v>
      </c>
      <c r="D329" s="44">
        <f ca="1">'Adj Data'!B338</f>
        <v>58.13234404806596</v>
      </c>
      <c r="E329" s="64">
        <f ca="1">RANK(Table1[[#This Row],[Kenpom]],Table1[Kenpom])</f>
        <v>336</v>
      </c>
      <c r="F329" s="44">
        <f ca="1">'Adj Data'!C338</f>
        <v>59.62430453428378</v>
      </c>
      <c r="G329" s="64">
        <f ca="1">RANK(Table1[[#This Row],[PVA]],Table1[PVA])</f>
        <v>326</v>
      </c>
      <c r="H329" s="44">
        <f ca="1">'Adj Data'!D338</f>
        <v>60.51</v>
      </c>
      <c r="I329" s="64">
        <f ca="1">RANK(Table1[[#This Row],[Sagarin]],Table1[Sagarin])</f>
        <v>314</v>
      </c>
      <c r="J329" s="44" t="str">
        <f ca="1">IFERROR(AVERAGE('Adj Data'!E338,'Adj Data'!F338),"")</f>
        <v/>
      </c>
      <c r="K329" s="64" t="str">
        <f ca="1">IFERROR(RANK(Table1[[#This Row],[Preseason]],Table1[Preseason]),"")</f>
        <v/>
      </c>
    </row>
    <row r="330" spans="1:11" x14ac:dyDescent="0.3">
      <c r="A330" s="64">
        <f ca="1">RANK(Table1[[#This Row],[Composite]],Table1[Composite])</f>
        <v>329</v>
      </c>
      <c r="B330" s="67" t="str">
        <f>'Adj Data'!A322</f>
        <v>Northwestern St</v>
      </c>
      <c r="C330" s="44">
        <f ca="1">'Adj Data'!G322</f>
        <v>59.362594796698652</v>
      </c>
      <c r="D330" s="44">
        <f ca="1">'Adj Data'!B322</f>
        <v>59.282722248075913</v>
      </c>
      <c r="E330" s="64">
        <f ca="1">RANK(Table1[[#This Row],[Kenpom]],Table1[Kenpom])</f>
        <v>328</v>
      </c>
      <c r="F330" s="44">
        <f ca="1">'Adj Data'!C322</f>
        <v>59.495062142020039</v>
      </c>
      <c r="G330" s="64">
        <f ca="1">RANK(Table1[[#This Row],[PVA]],Table1[PVA])</f>
        <v>327</v>
      </c>
      <c r="H330" s="44">
        <f ca="1">'Adj Data'!D322</f>
        <v>59.31</v>
      </c>
      <c r="I330" s="64">
        <f ca="1">RANK(Table1[[#This Row],[Sagarin]],Table1[Sagarin])</f>
        <v>326</v>
      </c>
      <c r="J330" s="44" t="str">
        <f ca="1">IFERROR(AVERAGE('Adj Data'!E322,'Adj Data'!F322),"")</f>
        <v/>
      </c>
      <c r="K330" s="64" t="str">
        <f ca="1">IFERROR(RANK(Table1[[#This Row],[Preseason]],Table1[Preseason]),"")</f>
        <v/>
      </c>
    </row>
    <row r="331" spans="1:11" x14ac:dyDescent="0.3">
      <c r="A331" s="64">
        <f ca="1">RANK(Table1[[#This Row],[Composite]],Table1[Composite])</f>
        <v>330</v>
      </c>
      <c r="B331" s="67" t="str">
        <f>'Adj Data'!A330</f>
        <v>Coppin State</v>
      </c>
      <c r="C331" s="44">
        <f ca="1">'Adj Data'!G330</f>
        <v>59.043263803999423</v>
      </c>
      <c r="D331" s="44">
        <f ca="1">'Adj Data'!B330</f>
        <v>59.026244485450746</v>
      </c>
      <c r="E331" s="64">
        <f ca="1">RANK(Table1[[#This Row],[Kenpom]],Table1[Kenpom])</f>
        <v>329</v>
      </c>
      <c r="F331" s="44">
        <f ca="1">'Adj Data'!C330</f>
        <v>59.753546926547521</v>
      </c>
      <c r="G331" s="64">
        <f ca="1">RANK(Table1[[#This Row],[PVA]],Table1[PVA])</f>
        <v>325</v>
      </c>
      <c r="H331" s="44">
        <f ca="1">'Adj Data'!D330</f>
        <v>58.35</v>
      </c>
      <c r="I331" s="64">
        <f ca="1">RANK(Table1[[#This Row],[Sagarin]],Table1[Sagarin])</f>
        <v>330</v>
      </c>
      <c r="J331" s="44" t="str">
        <f ca="1">IFERROR(AVERAGE('Adj Data'!E330,'Adj Data'!F330),"")</f>
        <v/>
      </c>
      <c r="K331" s="64" t="str">
        <f ca="1">IFERROR(RANK(Table1[[#This Row],[Preseason]],Table1[Preseason]),"")</f>
        <v/>
      </c>
    </row>
    <row r="332" spans="1:11" x14ac:dyDescent="0.3">
      <c r="A332" s="64">
        <f ca="1">RANK(Table1[[#This Row],[Composite]],Table1[Composite])</f>
        <v>331</v>
      </c>
      <c r="B332" s="67" t="str">
        <f>'Adj Data'!A326</f>
        <v>Lafayette</v>
      </c>
      <c r="C332" s="44">
        <f ca="1">'Adj Data'!G326</f>
        <v>58.852322543270354</v>
      </c>
      <c r="D332" s="44">
        <f ca="1">'Adj Data'!B326</f>
        <v>59.509026156274594</v>
      </c>
      <c r="E332" s="64">
        <f ca="1">RANK(Table1[[#This Row],[Kenpom]],Table1[Kenpom])</f>
        <v>324</v>
      </c>
      <c r="F332" s="44">
        <f ca="1">'Adj Data'!C326</f>
        <v>57.297941473536468</v>
      </c>
      <c r="G332" s="64">
        <f ca="1">RANK(Table1[[#This Row],[PVA]],Table1[PVA])</f>
        <v>336</v>
      </c>
      <c r="H332" s="44">
        <f ca="1">'Adj Data'!D326</f>
        <v>59.75</v>
      </c>
      <c r="I332" s="64">
        <f ca="1">RANK(Table1[[#This Row],[Sagarin]],Table1[Sagarin])</f>
        <v>319</v>
      </c>
      <c r="J332" s="44" t="str">
        <f ca="1">IFERROR(AVERAGE('Adj Data'!E326,'Adj Data'!F326),"")</f>
        <v/>
      </c>
      <c r="K332" s="64" t="str">
        <f ca="1">IFERROR(RANK(Table1[[#This Row],[Preseason]],Table1[Preseason]),"")</f>
        <v/>
      </c>
    </row>
    <row r="333" spans="1:11" x14ac:dyDescent="0.3">
      <c r="A333" s="64">
        <f ca="1">RANK(Table1[[#This Row],[Composite]],Table1[Composite])</f>
        <v>332</v>
      </c>
      <c r="B333" s="67" t="str">
        <f>'Adj Data'!A339</f>
        <v>Nicholls State</v>
      </c>
      <c r="C333" s="44">
        <f ca="1">'Adj Data'!G339</f>
        <v>58.793273722949316</v>
      </c>
      <c r="D333" s="44">
        <f ca="1">'Adj Data'!B339</f>
        <v>59.37324381135538</v>
      </c>
      <c r="E333" s="64">
        <f ca="1">RANK(Table1[[#This Row],[Kenpom]],Table1[Kenpom])</f>
        <v>326</v>
      </c>
      <c r="F333" s="44">
        <f ca="1">'Adj Data'!C339</f>
        <v>59.236577357492564</v>
      </c>
      <c r="G333" s="64">
        <f ca="1">RANK(Table1[[#This Row],[PVA]],Table1[PVA])</f>
        <v>328</v>
      </c>
      <c r="H333" s="44">
        <f ca="1">'Adj Data'!D339</f>
        <v>57.77</v>
      </c>
      <c r="I333" s="64">
        <f ca="1">RANK(Table1[[#This Row],[Sagarin]],Table1[Sagarin])</f>
        <v>336</v>
      </c>
      <c r="J333" s="44" t="str">
        <f ca="1">IFERROR(AVERAGE('Adj Data'!E339,'Adj Data'!F339),"")</f>
        <v/>
      </c>
      <c r="K333" s="64" t="str">
        <f ca="1">IFERROR(RANK(Table1[[#This Row],[Preseason]],Table1[Preseason]),"")</f>
        <v/>
      </c>
    </row>
    <row r="334" spans="1:11" x14ac:dyDescent="0.3">
      <c r="A334" s="64">
        <f ca="1">RANK(Table1[[#This Row],[Composite]],Table1[Composite])</f>
        <v>333</v>
      </c>
      <c r="B334" s="67" t="str">
        <f>'Adj Data'!A337</f>
        <v>McNeese State</v>
      </c>
      <c r="C334" s="44">
        <f ca="1">'Adj Data'!G337</f>
        <v>58.638387768100756</v>
      </c>
      <c r="D334" s="44">
        <f ca="1">'Adj Data'!B337</f>
        <v>58.939494653974585</v>
      </c>
      <c r="E334" s="64">
        <f ca="1">RANK(Table1[[#This Row],[Kenpom]],Table1[Kenpom])</f>
        <v>330</v>
      </c>
      <c r="F334" s="44">
        <f ca="1">'Adj Data'!C337</f>
        <v>57.685668650327685</v>
      </c>
      <c r="G334" s="64">
        <f ca="1">RANK(Table1[[#This Row],[PVA]],Table1[PVA])</f>
        <v>334</v>
      </c>
      <c r="H334" s="44">
        <f ca="1">'Adj Data'!D337</f>
        <v>59.29</v>
      </c>
      <c r="I334" s="64">
        <f ca="1">RANK(Table1[[#This Row],[Sagarin]],Table1[Sagarin])</f>
        <v>327</v>
      </c>
      <c r="J334" s="44" t="str">
        <f ca="1">IFERROR(AVERAGE('Adj Data'!E337,'Adj Data'!F337),"")</f>
        <v/>
      </c>
      <c r="K334" s="64" t="str">
        <f ca="1">IFERROR(RANK(Table1[[#This Row],[Preseason]],Table1[Preseason]),"")</f>
        <v/>
      </c>
    </row>
    <row r="335" spans="1:11" x14ac:dyDescent="0.3">
      <c r="A335" s="64">
        <f ca="1">RANK(Table1[[#This Row],[Composite]],Table1[Composite])</f>
        <v>334</v>
      </c>
      <c r="B335" s="67" t="str">
        <f>'Adj Data'!A332</f>
        <v>UMBC</v>
      </c>
      <c r="C335" s="44">
        <f ca="1">'Adj Data'!G332</f>
        <v>58.481166800013114</v>
      </c>
      <c r="D335" s="44">
        <f ca="1">'Adj Data'!B332</f>
        <v>58.867831749711669</v>
      </c>
      <c r="E335" s="64">
        <f ca="1">RANK(Table1[[#This Row],[Kenpom]],Table1[Kenpom])</f>
        <v>331</v>
      </c>
      <c r="F335" s="44">
        <f ca="1">'Adj Data'!C332</f>
        <v>57.685668650327685</v>
      </c>
      <c r="G335" s="64">
        <f ca="1">RANK(Table1[[#This Row],[PVA]],Table1[PVA])</f>
        <v>334</v>
      </c>
      <c r="H335" s="44">
        <f ca="1">'Adj Data'!D332</f>
        <v>58.89</v>
      </c>
      <c r="I335" s="64">
        <f ca="1">RANK(Table1[[#This Row],[Sagarin]],Table1[Sagarin])</f>
        <v>329</v>
      </c>
      <c r="J335" s="44" t="str">
        <f ca="1">IFERROR(AVERAGE('Adj Data'!E332,'Adj Data'!F332),"")</f>
        <v/>
      </c>
      <c r="K335" s="64" t="str">
        <f ca="1">IFERROR(RANK(Table1[[#This Row],[Preseason]],Table1[Preseason]),"")</f>
        <v/>
      </c>
    </row>
    <row r="336" spans="1:11" x14ac:dyDescent="0.3">
      <c r="A336" s="64">
        <f ca="1">RANK(Table1[[#This Row],[Composite]],Table1[Composite])</f>
        <v>335</v>
      </c>
      <c r="B336" s="67" t="str">
        <f>'Adj Data'!A333</f>
        <v>UIC</v>
      </c>
      <c r="C336" s="44">
        <f ca="1">'Adj Data'!G333</f>
        <v>58.108993143530938</v>
      </c>
      <c r="D336" s="44">
        <f ca="1">'Adj Data'!B333</f>
        <v>57.91358360347391</v>
      </c>
      <c r="E336" s="64">
        <f ca="1">RANK(Table1[[#This Row],[Kenpom]],Table1[Kenpom])</f>
        <v>339</v>
      </c>
      <c r="F336" s="44">
        <f ca="1">'Adj Data'!C333</f>
        <v>58.073395827118901</v>
      </c>
      <c r="G336" s="64">
        <f ca="1">RANK(Table1[[#This Row],[PVA]],Table1[PVA])</f>
        <v>332</v>
      </c>
      <c r="H336" s="44">
        <f ca="1">'Adj Data'!D333</f>
        <v>58.34</v>
      </c>
      <c r="I336" s="64">
        <f ca="1">RANK(Table1[[#This Row],[Sagarin]],Table1[Sagarin])</f>
        <v>331</v>
      </c>
      <c r="J336" s="44" t="str">
        <f ca="1">IFERROR(AVERAGE('Adj Data'!E333,'Adj Data'!F333),"")</f>
        <v/>
      </c>
      <c r="K336" s="64" t="str">
        <f ca="1">IFERROR(RANK(Table1[[#This Row],[Preseason]],Table1[Preseason]),"")</f>
        <v/>
      </c>
    </row>
    <row r="337" spans="1:11" x14ac:dyDescent="0.3">
      <c r="A337" s="64">
        <f ca="1">RANK(Table1[[#This Row],[Composite]],Table1[Composite])</f>
        <v>336</v>
      </c>
      <c r="B337" s="67" t="str">
        <f>'Adj Data'!A341</f>
        <v>SE Missouri St</v>
      </c>
      <c r="C337" s="44">
        <f ca="1">'Adj Data'!G341</f>
        <v>57.501807062958086</v>
      </c>
      <c r="D337" s="44">
        <f ca="1">'Adj Data'!B341</f>
        <v>57.675964499865294</v>
      </c>
      <c r="E337" s="64">
        <f ca="1">RANK(Table1[[#This Row],[Kenpom]],Table1[Kenpom])</f>
        <v>342</v>
      </c>
      <c r="F337" s="44">
        <f ca="1">'Adj Data'!C341</f>
        <v>57.039456689008986</v>
      </c>
      <c r="G337" s="64">
        <f ca="1">RANK(Table1[[#This Row],[PVA]],Table1[PVA])</f>
        <v>338</v>
      </c>
      <c r="H337" s="44">
        <f ca="1">'Adj Data'!D341</f>
        <v>57.79</v>
      </c>
      <c r="I337" s="64">
        <f ca="1">RANK(Table1[[#This Row],[Sagarin]],Table1[Sagarin])</f>
        <v>335</v>
      </c>
      <c r="J337" s="44" t="str">
        <f ca="1">IFERROR(AVERAGE('Adj Data'!E341,'Adj Data'!F341),"")</f>
        <v/>
      </c>
      <c r="K337" s="64" t="str">
        <f ca="1">IFERROR(RANK(Table1[[#This Row],[Preseason]],Table1[Preseason]),"")</f>
        <v/>
      </c>
    </row>
    <row r="338" spans="1:11" x14ac:dyDescent="0.3">
      <c r="A338" s="64">
        <f ca="1">RANK(Table1[[#This Row],[Composite]],Table1[Composite])</f>
        <v>338</v>
      </c>
      <c r="B338" s="67" t="str">
        <f>'Adj Data'!A336</f>
        <v>NC A&amp;T</v>
      </c>
      <c r="C338" s="44">
        <f ca="1">'Adj Data'!G336</f>
        <v>57.308797422214944</v>
      </c>
      <c r="D338" s="44">
        <f ca="1">'Adj Data'!B336</f>
        <v>58.015420362163312</v>
      </c>
      <c r="E338" s="64">
        <f ca="1">RANK(Table1[[#This Row],[Kenpom]],Table1[Kenpom])</f>
        <v>337</v>
      </c>
      <c r="F338" s="44">
        <f ca="1">'Adj Data'!C336</f>
        <v>56.780971904481504</v>
      </c>
      <c r="G338" s="64">
        <f ca="1">RANK(Table1[[#This Row],[PVA]],Table1[PVA])</f>
        <v>339</v>
      </c>
      <c r="H338" s="44">
        <f ca="1">'Adj Data'!D336</f>
        <v>57.13</v>
      </c>
      <c r="I338" s="64">
        <f ca="1">RANK(Table1[[#This Row],[Sagarin]],Table1[Sagarin])</f>
        <v>338</v>
      </c>
      <c r="J338" s="44" t="str">
        <f ca="1">IFERROR(AVERAGE('Adj Data'!E336,'Adj Data'!F336),"")</f>
        <v/>
      </c>
      <c r="K338" s="64" t="str">
        <f ca="1">IFERROR(RANK(Table1[[#This Row],[Preseason]],Table1[Preseason]),"")</f>
        <v/>
      </c>
    </row>
    <row r="339" spans="1:11" x14ac:dyDescent="0.3">
      <c r="A339" s="64">
        <f ca="1">RANK(Table1[[#This Row],[Composite]],Table1[Composite])</f>
        <v>337</v>
      </c>
      <c r="B339" s="67" t="str">
        <f>'Adj Data'!A335</f>
        <v>Maine</v>
      </c>
      <c r="C339" s="44">
        <f ca="1">'Adj Data'!G335</f>
        <v>57.322363758521455</v>
      </c>
      <c r="D339" s="44">
        <f ca="1">'Adj Data'!B335</f>
        <v>58.524604155610341</v>
      </c>
      <c r="E339" s="64">
        <f ca="1">RANK(Table1[[#This Row],[Kenpom]],Table1[Kenpom])</f>
        <v>334</v>
      </c>
      <c r="F339" s="44">
        <f ca="1">'Adj Data'!C335</f>
        <v>56.522487119954029</v>
      </c>
      <c r="G339" s="64">
        <f ca="1">RANK(Table1[[#This Row],[PVA]],Table1[PVA])</f>
        <v>340</v>
      </c>
      <c r="H339" s="44">
        <f ca="1">'Adj Data'!D335</f>
        <v>56.92</v>
      </c>
      <c r="I339" s="64">
        <f ca="1">RANK(Table1[[#This Row],[Sagarin]],Table1[Sagarin])</f>
        <v>339</v>
      </c>
      <c r="J339" s="44" t="str">
        <f ca="1">IFERROR(AVERAGE('Adj Data'!E335,'Adj Data'!F335),"")</f>
        <v/>
      </c>
      <c r="K339" s="64" t="str">
        <f ca="1">IFERROR(RANK(Table1[[#This Row],[Preseason]],Table1[Preseason]),"")</f>
        <v/>
      </c>
    </row>
    <row r="340" spans="1:11" x14ac:dyDescent="0.3">
      <c r="A340" s="64">
        <f ca="1">RANK(Table1[[#This Row],[Composite]],Table1[Composite])</f>
        <v>339</v>
      </c>
      <c r="B340" s="67" t="str">
        <f>'Adj Data'!A342</f>
        <v>Southern Utah</v>
      </c>
      <c r="C340" s="44">
        <f ca="1">'Adj Data'!G342</f>
        <v>57.285293520707818</v>
      </c>
      <c r="D340" s="44">
        <f ca="1">'Adj Data'!B342</f>
        <v>57.887181480850728</v>
      </c>
      <c r="E340" s="64">
        <f ca="1">RANK(Table1[[#This Row],[Kenpom]],Table1[Kenpom])</f>
        <v>341</v>
      </c>
      <c r="F340" s="44">
        <f ca="1">'Adj Data'!C342</f>
        <v>57.168699081272727</v>
      </c>
      <c r="G340" s="64">
        <f ca="1">RANK(Table1[[#This Row],[PVA]],Table1[PVA])</f>
        <v>337</v>
      </c>
      <c r="H340" s="44">
        <f ca="1">'Adj Data'!D342</f>
        <v>56.8</v>
      </c>
      <c r="I340" s="64">
        <f ca="1">RANK(Table1[[#This Row],[Sagarin]],Table1[Sagarin])</f>
        <v>340</v>
      </c>
      <c r="J340" s="44" t="str">
        <f ca="1">IFERROR(AVERAGE('Adj Data'!E342,'Adj Data'!F342),"")</f>
        <v/>
      </c>
      <c r="K340" s="64" t="str">
        <f ca="1">IFERROR(RANK(Table1[[#This Row],[Preseason]],Table1[Preseason]),"")</f>
        <v/>
      </c>
    </row>
    <row r="341" spans="1:11" x14ac:dyDescent="0.3">
      <c r="A341" s="64">
        <f ca="1">RANK(Table1[[#This Row],[Composite]],Table1[Composite])</f>
        <v>340</v>
      </c>
      <c r="B341" s="67" t="str">
        <f>'Adj Data'!A345</f>
        <v>Prarie View A&amp;M</v>
      </c>
      <c r="C341" s="44">
        <f ca="1">'Adj Data'!G345</f>
        <v>57.140514991700648</v>
      </c>
      <c r="D341" s="44">
        <f ca="1">'Adj Data'!B345</f>
        <v>58.29830024741166</v>
      </c>
      <c r="E341" s="64">
        <f ca="1">RANK(Table1[[#This Row],[Kenpom]],Table1[Kenpom])</f>
        <v>335</v>
      </c>
      <c r="F341" s="44">
        <f ca="1">'Adj Data'!C345</f>
        <v>56.393244727690288</v>
      </c>
      <c r="G341" s="64">
        <f ca="1">RANK(Table1[[#This Row],[PVA]],Table1[PVA])</f>
        <v>341</v>
      </c>
      <c r="H341" s="44">
        <f ca="1">'Adj Data'!D345</f>
        <v>56.73</v>
      </c>
      <c r="I341" s="64">
        <f ca="1">RANK(Table1[[#This Row],[Sagarin]],Table1[Sagarin])</f>
        <v>341</v>
      </c>
      <c r="J341" s="44" t="str">
        <f ca="1">IFERROR(AVERAGE('Adj Data'!E345,'Adj Data'!F345),"")</f>
        <v/>
      </c>
      <c r="K341" s="64" t="str">
        <f ca="1">IFERROR(RANK(Table1[[#This Row],[Preseason]],Table1[Preseason]),"")</f>
        <v/>
      </c>
    </row>
    <row r="342" spans="1:11" x14ac:dyDescent="0.3">
      <c r="A342" s="64">
        <f ca="1">RANK(Table1[[#This Row],[Composite]],Table1[Composite])</f>
        <v>341</v>
      </c>
      <c r="B342" s="67" t="str">
        <f>'Adj Data'!A340</f>
        <v>N Arizona</v>
      </c>
      <c r="C342" s="44">
        <f ca="1">'Adj Data'!G340</f>
        <v>57.120589129670556</v>
      </c>
      <c r="D342" s="44">
        <f ca="1">'Adj Data'!B340</f>
        <v>57.396856346420257</v>
      </c>
      <c r="E342" s="64">
        <f ca="1">RANK(Table1[[#This Row],[Kenpom]],Table1[Kenpom])</f>
        <v>343</v>
      </c>
      <c r="F342" s="44">
        <f ca="1">'Adj Data'!C340</f>
        <v>57.814911042591426</v>
      </c>
      <c r="G342" s="64">
        <f ca="1">RANK(Table1[[#This Row],[PVA]],Table1[PVA])</f>
        <v>333</v>
      </c>
      <c r="H342" s="44">
        <f ca="1">'Adj Data'!D340</f>
        <v>56.15</v>
      </c>
      <c r="I342" s="64">
        <f ca="1">RANK(Table1[[#This Row],[Sagarin]],Table1[Sagarin])</f>
        <v>343</v>
      </c>
      <c r="J342" s="44" t="str">
        <f ca="1">IFERROR(AVERAGE('Adj Data'!E340,'Adj Data'!F340),"")</f>
        <v/>
      </c>
      <c r="K342" s="64" t="str">
        <f ca="1">IFERROR(RANK(Table1[[#This Row],[Preseason]],Table1[Preseason]),"")</f>
        <v/>
      </c>
    </row>
    <row r="343" spans="1:11" x14ac:dyDescent="0.3">
      <c r="A343" s="64">
        <f ca="1">RANK(Table1[[#This Row],[Composite]],Table1[Composite])</f>
        <v>342</v>
      </c>
      <c r="B343" s="67" t="str">
        <f>'Adj Data'!A334</f>
        <v>UTSA</v>
      </c>
      <c r="C343" s="44">
        <f ca="1">'Adj Data'!G334</f>
        <v>57.060585903609649</v>
      </c>
      <c r="D343" s="44">
        <f ca="1">'Adj Data'!B334</f>
        <v>57.894724944457352</v>
      </c>
      <c r="E343" s="64">
        <f ca="1">RANK(Table1[[#This Row],[Kenpom]],Table1[Kenpom])</f>
        <v>340</v>
      </c>
      <c r="F343" s="44">
        <f ca="1">'Adj Data'!C334</f>
        <v>55.747032766371589</v>
      </c>
      <c r="G343" s="64">
        <f ca="1">RANK(Table1[[#This Row],[PVA]],Table1[PVA])</f>
        <v>344</v>
      </c>
      <c r="H343" s="44">
        <f ca="1">'Adj Data'!D334</f>
        <v>57.54</v>
      </c>
      <c r="I343" s="64">
        <f ca="1">RANK(Table1[[#This Row],[Sagarin]],Table1[Sagarin])</f>
        <v>337</v>
      </c>
      <c r="J343" s="44" t="str">
        <f ca="1">IFERROR(AVERAGE('Adj Data'!E334,'Adj Data'!F334),"")</f>
        <v/>
      </c>
      <c r="K343" s="64" t="str">
        <f ca="1">IFERROR(RANK(Table1[[#This Row],[Preseason]],Table1[Preseason]),"")</f>
        <v/>
      </c>
    </row>
    <row r="344" spans="1:11" x14ac:dyDescent="0.3">
      <c r="A344" s="64">
        <f ca="1">RANK(Table1[[#This Row],[Composite]],Table1[Composite])</f>
        <v>343</v>
      </c>
      <c r="B344" s="67" t="str">
        <f>'Adj Data'!A346</f>
        <v>Bryant</v>
      </c>
      <c r="C344" s="44">
        <f ca="1">'Adj Data'!G346</f>
        <v>56.57839151711736</v>
      </c>
      <c r="D344" s="44">
        <f ca="1">'Adj Data'!B346</f>
        <v>57.061172215925552</v>
      </c>
      <c r="E344" s="64">
        <f ca="1">RANK(Table1[[#This Row],[Kenpom]],Table1[Kenpom])</f>
        <v>344</v>
      </c>
      <c r="F344" s="44">
        <f ca="1">'Adj Data'!C346</f>
        <v>56.264002335426547</v>
      </c>
      <c r="G344" s="64">
        <f ca="1">RANK(Table1[[#This Row],[PVA]],Table1[PVA])</f>
        <v>342</v>
      </c>
      <c r="H344" s="44">
        <f ca="1">'Adj Data'!D346</f>
        <v>56.41</v>
      </c>
      <c r="I344" s="64">
        <f ca="1">RANK(Table1[[#This Row],[Sagarin]],Table1[Sagarin])</f>
        <v>342</v>
      </c>
      <c r="J344" s="44" t="str">
        <f ca="1">IFERROR(AVERAGE('Adj Data'!E346,'Adj Data'!F346),"")</f>
        <v/>
      </c>
      <c r="K344" s="64" t="str">
        <f ca="1">IFERROR(RANK(Table1[[#This Row],[Preseason]],Table1[Preseason]),"")</f>
        <v/>
      </c>
    </row>
    <row r="345" spans="1:11" x14ac:dyDescent="0.3">
      <c r="A345" s="64">
        <f ca="1">RANK(Table1[[#This Row],[Composite]],Table1[Composite])</f>
        <v>344</v>
      </c>
      <c r="B345" s="67" t="str">
        <f>'Adj Data'!A343</f>
        <v>Mississippi Valley St</v>
      </c>
      <c r="C345" s="44">
        <f ca="1">'Adj Data'!G343</f>
        <v>56.051273551739008</v>
      </c>
      <c r="D345" s="44">
        <f ca="1">'Adj Data'!B343</f>
        <v>57.943757457900396</v>
      </c>
      <c r="E345" s="64">
        <f ca="1">RANK(Table1[[#This Row],[Kenpom]],Table1[Kenpom])</f>
        <v>338</v>
      </c>
      <c r="F345" s="44">
        <f ca="1">'Adj Data'!C343</f>
        <v>55.230063197316632</v>
      </c>
      <c r="G345" s="64">
        <f ca="1">RANK(Table1[[#This Row],[PVA]],Table1[PVA])</f>
        <v>346</v>
      </c>
      <c r="H345" s="44">
        <f ca="1">'Adj Data'!D343</f>
        <v>54.98</v>
      </c>
      <c r="I345" s="64">
        <f ca="1">RANK(Table1[[#This Row],[Sagarin]],Table1[Sagarin])</f>
        <v>346</v>
      </c>
      <c r="J345" s="44" t="str">
        <f ca="1">IFERROR(AVERAGE('Adj Data'!E343,'Adj Data'!F343),"")</f>
        <v/>
      </c>
      <c r="K345" s="64" t="str">
        <f ca="1">IFERROR(RANK(Table1[[#This Row],[Preseason]],Table1[Preseason]),"")</f>
        <v/>
      </c>
    </row>
    <row r="346" spans="1:11" x14ac:dyDescent="0.3">
      <c r="A346" s="64">
        <f ca="1">RANK(Table1[[#This Row],[Composite]],Table1[Composite])</f>
        <v>345</v>
      </c>
      <c r="B346" s="67" t="str">
        <f>'Adj Data'!A344</f>
        <v>Chicago State</v>
      </c>
      <c r="C346" s="44">
        <f ca="1">'Adj Data'!G344</f>
        <v>55.914043312042701</v>
      </c>
      <c r="D346" s="44">
        <f ca="1">'Adj Data'!B344</f>
        <v>55.967369992965274</v>
      </c>
      <c r="E346" s="64">
        <f ca="1">RANK(Table1[[#This Row],[Kenpom]],Table1[Kenpom])</f>
        <v>349</v>
      </c>
      <c r="F346" s="44">
        <f ca="1">'Adj Data'!C344</f>
        <v>56.134759943162805</v>
      </c>
      <c r="G346" s="64">
        <f ca="1">RANK(Table1[[#This Row],[PVA]],Table1[PVA])</f>
        <v>343</v>
      </c>
      <c r="H346" s="44">
        <f ca="1">'Adj Data'!D344</f>
        <v>55.64</v>
      </c>
      <c r="I346" s="64">
        <f ca="1">RANK(Table1[[#This Row],[Sagarin]],Table1[Sagarin])</f>
        <v>345</v>
      </c>
      <c r="J346" s="44" t="str">
        <f ca="1">IFERROR(AVERAGE('Adj Data'!E344,'Adj Data'!F344),"")</f>
        <v/>
      </c>
      <c r="K346" s="64" t="str">
        <f ca="1">IFERROR(RANK(Table1[[#This Row],[Preseason]],Table1[Preseason]),"")</f>
        <v/>
      </c>
    </row>
    <row r="347" spans="1:11" x14ac:dyDescent="0.3">
      <c r="A347" s="64">
        <f ca="1">RANK(Table1[[#This Row],[Composite]],Table1[Composite])</f>
        <v>346</v>
      </c>
      <c r="B347" s="67" t="str">
        <f>'Adj Data'!A347</f>
        <v>UT Rio Grande</v>
      </c>
      <c r="C347" s="44">
        <f ca="1">'Adj Data'!G347</f>
        <v>55.843566799997006</v>
      </c>
      <c r="D347" s="44">
        <f ca="1">'Adj Data'!B347</f>
        <v>56.619879594938126</v>
      </c>
      <c r="E347" s="64">
        <f ca="1">RANK(Table1[[#This Row],[Kenpom]],Table1[Kenpom])</f>
        <v>347</v>
      </c>
      <c r="F347" s="44">
        <f ca="1">'Adj Data'!C347</f>
        <v>55.100820805052891</v>
      </c>
      <c r="G347" s="64">
        <f ca="1">RANK(Table1[[#This Row],[PVA]],Table1[PVA])</f>
        <v>348</v>
      </c>
      <c r="H347" s="44">
        <f ca="1">'Adj Data'!D347</f>
        <v>55.81</v>
      </c>
      <c r="I347" s="64">
        <f ca="1">RANK(Table1[[#This Row],[Sagarin]],Table1[Sagarin])</f>
        <v>344</v>
      </c>
      <c r="J347" s="44" t="str">
        <f ca="1">IFERROR(AVERAGE('Adj Data'!E347,'Adj Data'!F347),"")</f>
        <v/>
      </c>
      <c r="K347" s="64" t="str">
        <f ca="1">IFERROR(RANK(Table1[[#This Row],[Preseason]],Table1[Preseason]),"")</f>
        <v/>
      </c>
    </row>
    <row r="348" spans="1:11" x14ac:dyDescent="0.3">
      <c r="A348" s="64">
        <f ca="1">RANK(Table1[[#This Row],[Composite]],Table1[Composite])</f>
        <v>347</v>
      </c>
      <c r="B348" s="67" t="str">
        <f>'Adj Data'!A348</f>
        <v>AR Pine Bluff</v>
      </c>
      <c r="C348" s="44">
        <f ca="1">'Adj Data'!G348</f>
        <v>55.742429942337459</v>
      </c>
      <c r="D348" s="44">
        <f ca="1">'Adj Data'!B348</f>
        <v>57.027226629695747</v>
      </c>
      <c r="E348" s="64">
        <f ca="1">RANK(Table1[[#This Row],[Kenpom]],Table1[Kenpom])</f>
        <v>345</v>
      </c>
      <c r="F348" s="44">
        <f ca="1">'Adj Data'!C348</f>
        <v>55.230063197316632</v>
      </c>
      <c r="G348" s="64">
        <f ca="1">RANK(Table1[[#This Row],[PVA]],Table1[PVA])</f>
        <v>346</v>
      </c>
      <c r="H348" s="44">
        <f ca="1">'Adj Data'!D348</f>
        <v>54.97</v>
      </c>
      <c r="I348" s="64">
        <f ca="1">RANK(Table1[[#This Row],[Sagarin]],Table1[Sagarin])</f>
        <v>347</v>
      </c>
      <c r="J348" s="44" t="str">
        <f ca="1">IFERROR(AVERAGE('Adj Data'!E348,'Adj Data'!F348),"")</f>
        <v/>
      </c>
      <c r="K348" s="64" t="str">
        <f ca="1">IFERROR(RANK(Table1[[#This Row],[Preseason]],Table1[Preseason]),"")</f>
        <v/>
      </c>
    </row>
    <row r="349" spans="1:11" x14ac:dyDescent="0.3">
      <c r="A349" s="64">
        <f ca="1">RANK(Table1[[#This Row],[Composite]],Table1[Composite])</f>
        <v>348</v>
      </c>
      <c r="B349" s="67" t="str">
        <f>'Adj Data'!A350</f>
        <v>Grambling St</v>
      </c>
      <c r="C349" s="44">
        <f ca="1">'Adj Data'!G350</f>
        <v>55.523214852589227</v>
      </c>
      <c r="D349" s="44">
        <f ca="1">'Adj Data'!B350</f>
        <v>56.83109657592356</v>
      </c>
      <c r="E349" s="64">
        <f ca="1">RANK(Table1[[#This Row],[Kenpom]],Table1[Kenpom])</f>
        <v>346</v>
      </c>
      <c r="F349" s="44">
        <f ca="1">'Adj Data'!C350</f>
        <v>55.488547981844107</v>
      </c>
      <c r="G349" s="64">
        <f ca="1">RANK(Table1[[#This Row],[PVA]],Table1[PVA])</f>
        <v>345</v>
      </c>
      <c r="H349" s="44">
        <f ca="1">'Adj Data'!D350</f>
        <v>54.25</v>
      </c>
      <c r="I349" s="64">
        <f ca="1">RANK(Table1[[#This Row],[Sagarin]],Table1[Sagarin])</f>
        <v>348</v>
      </c>
      <c r="J349" s="44" t="str">
        <f ca="1">IFERROR(AVERAGE('Adj Data'!E350,'Adj Data'!F350),"")</f>
        <v/>
      </c>
      <c r="K349" s="64" t="str">
        <f ca="1">IFERROR(RANK(Table1[[#This Row],[Preseason]],Table1[Preseason]),"")</f>
        <v/>
      </c>
    </row>
    <row r="350" spans="1:11" x14ac:dyDescent="0.3">
      <c r="A350" s="64">
        <f ca="1">RANK(Table1[[#This Row],[Composite]],Table1[Composite])</f>
        <v>349</v>
      </c>
      <c r="B350" s="67" t="str">
        <f>'Adj Data'!A349</f>
        <v>Delaware State</v>
      </c>
      <c r="C350" s="44">
        <f ca="1">'Adj Data'!G349</f>
        <v>54.586425465697062</v>
      </c>
      <c r="D350" s="44">
        <f ca="1">'Adj Data'!B349</f>
        <v>56.103152337884481</v>
      </c>
      <c r="E350" s="64">
        <f ca="1">RANK(Table1[[#This Row],[Kenpom]],Table1[Kenpom])</f>
        <v>348</v>
      </c>
      <c r="F350" s="44">
        <f ca="1">'Adj Data'!C349</f>
        <v>54.19612405920671</v>
      </c>
      <c r="G350" s="64">
        <f ca="1">RANK(Table1[[#This Row],[PVA]],Table1[PVA])</f>
        <v>349</v>
      </c>
      <c r="H350" s="44">
        <f ca="1">'Adj Data'!D349</f>
        <v>53.46</v>
      </c>
      <c r="I350" s="64">
        <f ca="1">RANK(Table1[[#This Row],[Sagarin]],Table1[Sagarin])</f>
        <v>349</v>
      </c>
      <c r="J350" s="44" t="str">
        <f ca="1">IFERROR(AVERAGE('Adj Data'!E349,'Adj Data'!F349),"")</f>
        <v/>
      </c>
      <c r="K350" s="64" t="str">
        <f ca="1">IFERROR(RANK(Table1[[#This Row],[Preseason]],Table1[Preseason]),"")</f>
        <v/>
      </c>
    </row>
    <row r="351" spans="1:11" x14ac:dyDescent="0.3">
      <c r="A351" s="64">
        <f ca="1">RANK(Table1[[#This Row],[Composite]],Table1[Composite])</f>
        <v>350</v>
      </c>
      <c r="B351" s="67" t="str">
        <f>'Adj Data'!A351</f>
        <v>Florida A&amp;M</v>
      </c>
      <c r="C351" s="44">
        <f ca="1">'Adj Data'!G351</f>
        <v>53.355797733839189</v>
      </c>
      <c r="D351" s="44">
        <f ca="1">'Adj Data'!B351</f>
        <v>55.835359379849379</v>
      </c>
      <c r="E351" s="64">
        <f ca="1">RANK(Table1[[#This Row],[Kenpom]],Table1[Kenpom])</f>
        <v>351</v>
      </c>
      <c r="F351" s="44">
        <f ca="1">'Adj Data'!C351</f>
        <v>51.482033821668182</v>
      </c>
      <c r="G351" s="64">
        <f ca="1">RANK(Table1[[#This Row],[PVA]],Table1[PVA])</f>
        <v>350</v>
      </c>
      <c r="H351" s="44">
        <f ca="1">'Adj Data'!D351</f>
        <v>52.75</v>
      </c>
      <c r="I351" s="64">
        <f ca="1">RANK(Table1[[#This Row],[Sagarin]],Table1[Sagarin])</f>
        <v>350</v>
      </c>
      <c r="J351" s="44" t="str">
        <f ca="1">IFERROR(AVERAGE('Adj Data'!E351,'Adj Data'!F351),"")</f>
        <v/>
      </c>
      <c r="K351" s="64" t="str">
        <f ca="1">IFERROR(RANK(Table1[[#This Row],[Preseason]],Table1[Preseason]),"")</f>
        <v/>
      </c>
    </row>
    <row r="352" spans="1:11" x14ac:dyDescent="0.3">
      <c r="A352" s="64">
        <f ca="1">RANK(Table1[[#This Row],[Composite]],Table1[Composite])</f>
        <v>351</v>
      </c>
      <c r="B352" s="67" t="str">
        <f>'Adj Data'!A352</f>
        <v>Central Connecticut St</v>
      </c>
      <c r="C352" s="44">
        <f ca="1">'Adj Data'!G352</f>
        <v>52.562605332213536</v>
      </c>
      <c r="D352" s="44">
        <f ca="1">'Adj Data'!B352</f>
        <v>55.842902843456002</v>
      </c>
      <c r="E352" s="64">
        <f ca="1">RANK(Table1[[#This Row],[Kenpom]],Table1[Kenpom])</f>
        <v>350</v>
      </c>
      <c r="F352" s="44">
        <f ca="1">'Adj Data'!C352</f>
        <v>49.284913153184604</v>
      </c>
      <c r="G352" s="64">
        <f ca="1">RANK(Table1[[#This Row],[PVA]],Table1[PVA])</f>
        <v>351</v>
      </c>
      <c r="H352" s="44">
        <f ca="1">'Adj Data'!D352</f>
        <v>52.56</v>
      </c>
      <c r="I352" s="64">
        <f ca="1">RANK(Table1[[#This Row],[Sagarin]],Table1[Sagarin])</f>
        <v>351</v>
      </c>
      <c r="J352" s="44" t="str">
        <f ca="1">IFERROR(AVERAGE('Adj Data'!E352,'Adj Data'!F352),"")</f>
        <v/>
      </c>
      <c r="K352" s="64" t="str">
        <f ca="1">IFERROR(RANK(Table1[[#This Row],[Preseason]],Table1[Preseason]),"")</f>
        <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352"/>
  <sheetViews>
    <sheetView topLeftCell="A61" workbookViewId="0">
      <selection activeCell="I5" sqref="I5"/>
    </sheetView>
  </sheetViews>
  <sheetFormatPr defaultRowHeight="15.6" x14ac:dyDescent="0.3"/>
  <cols>
    <col min="1" max="1" width="23" bestFit="1" customWidth="1"/>
    <col min="2" max="2" width="6.75" bestFit="1" customWidth="1"/>
    <col min="3" max="3" width="5.75" bestFit="1" customWidth="1"/>
    <col min="4" max="4" width="7.75" bestFit="1" customWidth="1"/>
    <col min="5" max="5" width="4.75" bestFit="1" customWidth="1"/>
    <col min="6" max="6" width="7.75" bestFit="1" customWidth="1"/>
    <col min="7" max="7" width="4.75" bestFit="1" customWidth="1"/>
    <col min="9" max="9" width="12.83203125" bestFit="1" customWidth="1"/>
  </cols>
  <sheetData>
    <row r="1" spans="1:9" x14ac:dyDescent="0.3">
      <c r="A1" t="s">
        <v>324</v>
      </c>
      <c r="B1" t="s">
        <v>325</v>
      </c>
      <c r="C1" t="s">
        <v>231</v>
      </c>
      <c r="D1" t="s">
        <v>326</v>
      </c>
      <c r="E1" t="s">
        <v>327</v>
      </c>
      <c r="F1" t="s">
        <v>328</v>
      </c>
      <c r="G1" t="s">
        <v>329</v>
      </c>
      <c r="H1" t="s">
        <v>327</v>
      </c>
      <c r="I1" t="s">
        <v>328</v>
      </c>
    </row>
    <row r="2" spans="1:9" x14ac:dyDescent="0.3">
      <c r="A2" t="s">
        <v>233</v>
      </c>
      <c r="B2">
        <v>0.92630000000000001</v>
      </c>
      <c r="C2">
        <v>17</v>
      </c>
      <c r="D2">
        <v>92.53</v>
      </c>
      <c r="E2">
        <v>838</v>
      </c>
      <c r="F2">
        <v>386</v>
      </c>
      <c r="G2">
        <v>2</v>
      </c>
      <c r="H2">
        <f>IF(E2&lt;&gt;"",E2,"")</f>
        <v>838</v>
      </c>
      <c r="I2">
        <f>IF(F2&lt;&gt;"",F2,"")</f>
        <v>386</v>
      </c>
    </row>
    <row r="3" spans="1:9" x14ac:dyDescent="0.3">
      <c r="A3" t="s">
        <v>45</v>
      </c>
      <c r="B3">
        <v>0.93899999999999995</v>
      </c>
      <c r="C3">
        <v>17.399999999999999</v>
      </c>
      <c r="D3">
        <v>91.61</v>
      </c>
      <c r="E3">
        <v>1013</v>
      </c>
      <c r="F3">
        <v>498</v>
      </c>
      <c r="G3">
        <v>2</v>
      </c>
      <c r="H3">
        <f t="shared" ref="H3:H66" si="0">IF(E3&lt;&gt;"",E3,"")</f>
        <v>1013</v>
      </c>
      <c r="I3">
        <f t="shared" ref="I3:I66" si="1">IF(F3&lt;&gt;"",F3,"")</f>
        <v>498</v>
      </c>
    </row>
    <row r="4" spans="1:9" x14ac:dyDescent="0.3">
      <c r="A4" t="s">
        <v>26</v>
      </c>
      <c r="B4">
        <v>0.95009999999999994</v>
      </c>
      <c r="C4">
        <v>17.7</v>
      </c>
      <c r="D4">
        <v>91.81</v>
      </c>
      <c r="E4">
        <v>1347</v>
      </c>
      <c r="F4">
        <v>667</v>
      </c>
      <c r="G4">
        <v>1</v>
      </c>
      <c r="H4">
        <f t="shared" si="0"/>
        <v>1347</v>
      </c>
      <c r="I4">
        <f t="shared" si="1"/>
        <v>667</v>
      </c>
    </row>
    <row r="5" spans="1:9" x14ac:dyDescent="0.3">
      <c r="A5" t="s">
        <v>22</v>
      </c>
      <c r="B5">
        <v>0.9446</v>
      </c>
      <c r="C5">
        <v>16.7</v>
      </c>
      <c r="D5">
        <v>92.86</v>
      </c>
      <c r="E5">
        <v>1410</v>
      </c>
      <c r="F5">
        <v>675</v>
      </c>
      <c r="G5">
        <v>1</v>
      </c>
      <c r="H5">
        <f t="shared" si="0"/>
        <v>1410</v>
      </c>
      <c r="I5">
        <f t="shared" si="1"/>
        <v>675</v>
      </c>
    </row>
    <row r="6" spans="1:9" x14ac:dyDescent="0.3">
      <c r="A6" t="s">
        <v>50</v>
      </c>
      <c r="B6">
        <v>0.94030000000000002</v>
      </c>
      <c r="C6">
        <v>18.7</v>
      </c>
      <c r="D6">
        <v>91.86</v>
      </c>
      <c r="E6">
        <v>1566</v>
      </c>
      <c r="F6">
        <v>749</v>
      </c>
      <c r="G6">
        <v>1</v>
      </c>
      <c r="H6">
        <f t="shared" si="0"/>
        <v>1566</v>
      </c>
      <c r="I6">
        <f t="shared" si="1"/>
        <v>749</v>
      </c>
    </row>
    <row r="7" spans="1:9" x14ac:dyDescent="0.3">
      <c r="A7" t="s">
        <v>6</v>
      </c>
      <c r="B7">
        <v>0.91339999999999999</v>
      </c>
      <c r="C7">
        <v>15.4</v>
      </c>
      <c r="D7">
        <v>89.97</v>
      </c>
      <c r="E7">
        <v>1088</v>
      </c>
      <c r="F7">
        <v>520</v>
      </c>
      <c r="G7">
        <v>2</v>
      </c>
      <c r="H7">
        <f t="shared" si="0"/>
        <v>1088</v>
      </c>
      <c r="I7">
        <f t="shared" si="1"/>
        <v>520</v>
      </c>
    </row>
    <row r="8" spans="1:9" x14ac:dyDescent="0.3">
      <c r="A8" t="s">
        <v>32</v>
      </c>
      <c r="B8">
        <v>0.90310000000000001</v>
      </c>
      <c r="C8">
        <v>14.7</v>
      </c>
      <c r="D8">
        <v>90.86</v>
      </c>
      <c r="E8">
        <v>46</v>
      </c>
      <c r="F8">
        <v>93</v>
      </c>
      <c r="H8">
        <f t="shared" si="0"/>
        <v>46</v>
      </c>
      <c r="I8">
        <f t="shared" si="1"/>
        <v>93</v>
      </c>
    </row>
    <row r="9" spans="1:9" x14ac:dyDescent="0.3">
      <c r="A9" t="s">
        <v>368</v>
      </c>
      <c r="B9">
        <v>0.91990000000000005</v>
      </c>
      <c r="C9">
        <v>11.5</v>
      </c>
      <c r="D9">
        <v>88.34</v>
      </c>
      <c r="E9">
        <v>1032</v>
      </c>
      <c r="F9">
        <v>461</v>
      </c>
      <c r="G9">
        <v>11</v>
      </c>
      <c r="H9">
        <f t="shared" si="0"/>
        <v>1032</v>
      </c>
      <c r="I9">
        <f t="shared" si="1"/>
        <v>461</v>
      </c>
    </row>
    <row r="10" spans="1:9" x14ac:dyDescent="0.3">
      <c r="A10" t="s">
        <v>54</v>
      </c>
      <c r="B10">
        <v>0.90690000000000004</v>
      </c>
      <c r="C10">
        <v>15</v>
      </c>
      <c r="D10">
        <v>91.01</v>
      </c>
      <c r="E10">
        <v>84</v>
      </c>
      <c r="F10">
        <v>125</v>
      </c>
      <c r="G10">
        <v>3</v>
      </c>
      <c r="H10">
        <f t="shared" si="0"/>
        <v>84</v>
      </c>
      <c r="I10">
        <f t="shared" si="1"/>
        <v>125</v>
      </c>
    </row>
    <row r="11" spans="1:9" x14ac:dyDescent="0.3">
      <c r="A11" t="s">
        <v>25</v>
      </c>
      <c r="B11">
        <v>0.92320000000000002</v>
      </c>
      <c r="C11">
        <v>14.4</v>
      </c>
      <c r="D11">
        <v>90.43</v>
      </c>
      <c r="E11">
        <v>1520</v>
      </c>
      <c r="F11">
        <v>749</v>
      </c>
      <c r="G11">
        <v>4</v>
      </c>
      <c r="H11">
        <f t="shared" si="0"/>
        <v>1520</v>
      </c>
      <c r="I11">
        <f t="shared" si="1"/>
        <v>749</v>
      </c>
    </row>
    <row r="12" spans="1:9" x14ac:dyDescent="0.3">
      <c r="A12" t="s">
        <v>40</v>
      </c>
      <c r="B12">
        <v>0.87649999999999995</v>
      </c>
      <c r="C12">
        <v>14.3</v>
      </c>
      <c r="D12">
        <v>88.97</v>
      </c>
      <c r="E12">
        <v>1350</v>
      </c>
      <c r="F12">
        <v>686</v>
      </c>
      <c r="G12">
        <v>4</v>
      </c>
      <c r="H12">
        <f t="shared" si="0"/>
        <v>1350</v>
      </c>
      <c r="I12">
        <f t="shared" si="1"/>
        <v>686</v>
      </c>
    </row>
    <row r="13" spans="1:9" x14ac:dyDescent="0.3">
      <c r="A13" t="s">
        <v>55</v>
      </c>
      <c r="B13">
        <v>0.89839999999999998</v>
      </c>
      <c r="C13">
        <v>14</v>
      </c>
      <c r="D13">
        <v>88.19</v>
      </c>
      <c r="E13">
        <v>12</v>
      </c>
      <c r="F13">
        <v>25</v>
      </c>
      <c r="G13">
        <v>2</v>
      </c>
      <c r="H13">
        <f t="shared" si="0"/>
        <v>12</v>
      </c>
      <c r="I13">
        <f t="shared" si="1"/>
        <v>25</v>
      </c>
    </row>
    <row r="14" spans="1:9" x14ac:dyDescent="0.3">
      <c r="A14" t="s">
        <v>330</v>
      </c>
      <c r="B14">
        <v>0.89549999999999996</v>
      </c>
      <c r="C14">
        <v>13.7</v>
      </c>
      <c r="D14">
        <v>88.44</v>
      </c>
      <c r="G14">
        <v>3</v>
      </c>
      <c r="H14" t="str">
        <f t="shared" si="0"/>
        <v/>
      </c>
      <c r="I14" t="str">
        <f t="shared" si="1"/>
        <v/>
      </c>
    </row>
    <row r="15" spans="1:9" x14ac:dyDescent="0.3">
      <c r="A15" t="s">
        <v>57</v>
      </c>
      <c r="B15">
        <v>0.87239999999999995</v>
      </c>
      <c r="C15">
        <v>12.3</v>
      </c>
      <c r="D15">
        <v>87.58</v>
      </c>
      <c r="E15">
        <v>6</v>
      </c>
      <c r="F15">
        <v>8</v>
      </c>
      <c r="G15">
        <v>7</v>
      </c>
      <c r="H15">
        <f t="shared" si="0"/>
        <v>6</v>
      </c>
      <c r="I15">
        <f t="shared" si="1"/>
        <v>8</v>
      </c>
    </row>
    <row r="16" spans="1:9" x14ac:dyDescent="0.3">
      <c r="A16" t="s">
        <v>65</v>
      </c>
      <c r="B16">
        <v>0.89600000000000002</v>
      </c>
      <c r="C16">
        <v>12.8</v>
      </c>
      <c r="D16">
        <v>89.52</v>
      </c>
      <c r="E16">
        <v>755</v>
      </c>
      <c r="F16">
        <v>312</v>
      </c>
      <c r="G16">
        <v>5</v>
      </c>
      <c r="H16">
        <f t="shared" si="0"/>
        <v>755</v>
      </c>
      <c r="I16">
        <f t="shared" si="1"/>
        <v>312</v>
      </c>
    </row>
    <row r="17" spans="1:9" x14ac:dyDescent="0.3">
      <c r="A17" t="s">
        <v>1</v>
      </c>
      <c r="B17">
        <v>0.87949999999999995</v>
      </c>
      <c r="C17">
        <v>14.1</v>
      </c>
      <c r="D17">
        <v>88.53</v>
      </c>
      <c r="E17">
        <v>917</v>
      </c>
      <c r="F17">
        <v>477</v>
      </c>
      <c r="G17">
        <v>6</v>
      </c>
      <c r="H17">
        <f t="shared" si="0"/>
        <v>917</v>
      </c>
      <c r="I17">
        <f t="shared" si="1"/>
        <v>477</v>
      </c>
    </row>
    <row r="18" spans="1:9" x14ac:dyDescent="0.3">
      <c r="A18" t="s">
        <v>232</v>
      </c>
      <c r="B18">
        <v>0.88429999999999997</v>
      </c>
      <c r="C18">
        <v>13.3</v>
      </c>
      <c r="D18">
        <v>86.9</v>
      </c>
      <c r="E18">
        <v>1185</v>
      </c>
      <c r="F18">
        <v>541</v>
      </c>
      <c r="G18">
        <v>4</v>
      </c>
      <c r="H18">
        <f t="shared" si="0"/>
        <v>1185</v>
      </c>
      <c r="I18">
        <f t="shared" si="1"/>
        <v>541</v>
      </c>
    </row>
    <row r="19" spans="1:9" x14ac:dyDescent="0.3">
      <c r="A19" t="s">
        <v>66</v>
      </c>
      <c r="B19">
        <v>0.89739999999999998</v>
      </c>
      <c r="C19">
        <v>14.2</v>
      </c>
      <c r="D19">
        <v>90.15</v>
      </c>
      <c r="E19">
        <v>236</v>
      </c>
      <c r="F19">
        <v>110</v>
      </c>
      <c r="G19">
        <v>5</v>
      </c>
      <c r="H19">
        <f t="shared" si="0"/>
        <v>236</v>
      </c>
      <c r="I19">
        <f t="shared" si="1"/>
        <v>110</v>
      </c>
    </row>
    <row r="20" spans="1:9" x14ac:dyDescent="0.3">
      <c r="A20" t="s">
        <v>19</v>
      </c>
      <c r="B20">
        <v>0.90900000000000003</v>
      </c>
      <c r="C20">
        <v>13.6</v>
      </c>
      <c r="D20">
        <v>87.8</v>
      </c>
      <c r="E20">
        <v>116</v>
      </c>
      <c r="F20">
        <v>33</v>
      </c>
      <c r="G20">
        <v>1</v>
      </c>
      <c r="H20">
        <f t="shared" si="0"/>
        <v>116</v>
      </c>
      <c r="I20">
        <f t="shared" si="1"/>
        <v>33</v>
      </c>
    </row>
    <row r="21" spans="1:9" x14ac:dyDescent="0.3">
      <c r="A21" t="s">
        <v>61</v>
      </c>
      <c r="B21">
        <v>0.86350000000000005</v>
      </c>
      <c r="C21">
        <v>12.6</v>
      </c>
      <c r="D21">
        <v>87.28</v>
      </c>
      <c r="E21">
        <v>1487</v>
      </c>
      <c r="F21">
        <v>723</v>
      </c>
      <c r="G21">
        <v>5</v>
      </c>
      <c r="H21">
        <f t="shared" si="0"/>
        <v>1487</v>
      </c>
      <c r="I21">
        <f t="shared" si="1"/>
        <v>723</v>
      </c>
    </row>
    <row r="22" spans="1:9" x14ac:dyDescent="0.3">
      <c r="A22" t="s">
        <v>53</v>
      </c>
      <c r="B22">
        <v>0.88700000000000001</v>
      </c>
      <c r="C22">
        <v>14.4</v>
      </c>
      <c r="D22">
        <v>88.29</v>
      </c>
      <c r="E22">
        <v>112</v>
      </c>
      <c r="H22">
        <f t="shared" si="0"/>
        <v>112</v>
      </c>
      <c r="I22" t="str">
        <f t="shared" si="1"/>
        <v/>
      </c>
    </row>
    <row r="23" spans="1:9" x14ac:dyDescent="0.3">
      <c r="A23" t="s">
        <v>68</v>
      </c>
      <c r="B23">
        <v>0.84760000000000002</v>
      </c>
      <c r="C23">
        <v>11.6</v>
      </c>
      <c r="D23">
        <v>87.32</v>
      </c>
      <c r="E23">
        <v>393</v>
      </c>
      <c r="F23">
        <v>153</v>
      </c>
      <c r="G23">
        <v>11</v>
      </c>
      <c r="H23">
        <f t="shared" si="0"/>
        <v>393</v>
      </c>
      <c r="I23">
        <f t="shared" si="1"/>
        <v>153</v>
      </c>
    </row>
    <row r="24" spans="1:9" x14ac:dyDescent="0.3">
      <c r="A24" t="s">
        <v>24</v>
      </c>
      <c r="B24">
        <v>0.86519999999999997</v>
      </c>
      <c r="C24">
        <v>11.4</v>
      </c>
      <c r="D24">
        <v>85.97</v>
      </c>
      <c r="E24">
        <v>307</v>
      </c>
      <c r="F24">
        <v>110</v>
      </c>
      <c r="G24">
        <v>9</v>
      </c>
      <c r="H24">
        <f t="shared" si="0"/>
        <v>307</v>
      </c>
      <c r="I24">
        <f t="shared" si="1"/>
        <v>110</v>
      </c>
    </row>
    <row r="25" spans="1:9" x14ac:dyDescent="0.3">
      <c r="A25" t="s">
        <v>48</v>
      </c>
      <c r="B25">
        <v>0.84940000000000004</v>
      </c>
      <c r="C25">
        <v>10.8</v>
      </c>
      <c r="D25">
        <v>85.82</v>
      </c>
      <c r="E25">
        <v>499</v>
      </c>
      <c r="F25">
        <v>250</v>
      </c>
      <c r="G25">
        <v>3</v>
      </c>
      <c r="H25">
        <f t="shared" si="0"/>
        <v>499</v>
      </c>
      <c r="I25">
        <f t="shared" si="1"/>
        <v>250</v>
      </c>
    </row>
    <row r="26" spans="1:9" x14ac:dyDescent="0.3">
      <c r="A26" t="s">
        <v>63</v>
      </c>
      <c r="B26">
        <v>0.89500000000000002</v>
      </c>
      <c r="C26">
        <v>13.5</v>
      </c>
      <c r="D26">
        <v>88.66</v>
      </c>
      <c r="E26">
        <v>72</v>
      </c>
      <c r="F26">
        <v>58</v>
      </c>
      <c r="G26">
        <v>3</v>
      </c>
      <c r="H26">
        <f t="shared" si="0"/>
        <v>72</v>
      </c>
      <c r="I26">
        <f t="shared" si="1"/>
        <v>58</v>
      </c>
    </row>
    <row r="27" spans="1:9" x14ac:dyDescent="0.3">
      <c r="A27" t="s">
        <v>44</v>
      </c>
      <c r="B27">
        <v>0.82820000000000005</v>
      </c>
      <c r="C27">
        <v>9.8000000000000007</v>
      </c>
      <c r="D27">
        <v>84.55</v>
      </c>
      <c r="E27">
        <v>18</v>
      </c>
      <c r="F27">
        <v>29</v>
      </c>
      <c r="G27">
        <v>6</v>
      </c>
      <c r="H27">
        <f t="shared" si="0"/>
        <v>18</v>
      </c>
      <c r="I27">
        <f t="shared" si="1"/>
        <v>29</v>
      </c>
    </row>
    <row r="28" spans="1:9" x14ac:dyDescent="0.3">
      <c r="A28" t="s">
        <v>304</v>
      </c>
      <c r="B28">
        <v>0.85570000000000002</v>
      </c>
      <c r="C28">
        <v>12.3</v>
      </c>
      <c r="D28">
        <v>85.38</v>
      </c>
      <c r="E28">
        <v>757</v>
      </c>
      <c r="F28">
        <v>350</v>
      </c>
      <c r="G28">
        <v>4</v>
      </c>
      <c r="H28">
        <f t="shared" si="0"/>
        <v>757</v>
      </c>
      <c r="I28">
        <f t="shared" si="1"/>
        <v>350</v>
      </c>
    </row>
    <row r="29" spans="1:9" x14ac:dyDescent="0.3">
      <c r="A29" t="s">
        <v>13</v>
      </c>
      <c r="B29">
        <v>0.85450000000000004</v>
      </c>
      <c r="C29">
        <v>10.5</v>
      </c>
      <c r="D29">
        <v>86.06</v>
      </c>
      <c r="E29">
        <v>265</v>
      </c>
      <c r="F29">
        <v>145</v>
      </c>
      <c r="G29">
        <v>5</v>
      </c>
      <c r="H29">
        <f t="shared" si="0"/>
        <v>265</v>
      </c>
      <c r="I29">
        <f t="shared" si="1"/>
        <v>145</v>
      </c>
    </row>
    <row r="30" spans="1:9" x14ac:dyDescent="0.3">
      <c r="A30" t="s">
        <v>67</v>
      </c>
      <c r="B30">
        <v>0.83169999999999999</v>
      </c>
      <c r="C30">
        <v>11.2</v>
      </c>
      <c r="D30">
        <v>85.26</v>
      </c>
      <c r="E30">
        <v>63</v>
      </c>
      <c r="F30">
        <v>43</v>
      </c>
      <c r="G30">
        <v>9</v>
      </c>
      <c r="H30">
        <f t="shared" si="0"/>
        <v>63</v>
      </c>
      <c r="I30">
        <f t="shared" si="1"/>
        <v>43</v>
      </c>
    </row>
    <row r="31" spans="1:9" x14ac:dyDescent="0.3">
      <c r="A31" t="s">
        <v>11</v>
      </c>
      <c r="B31">
        <v>0.83340000000000003</v>
      </c>
      <c r="C31">
        <v>9.8000000000000007</v>
      </c>
      <c r="D31">
        <v>83.72</v>
      </c>
      <c r="E31">
        <v>433</v>
      </c>
      <c r="F31">
        <v>181</v>
      </c>
      <c r="G31">
        <v>7</v>
      </c>
      <c r="H31">
        <f t="shared" si="0"/>
        <v>433</v>
      </c>
      <c r="I31">
        <f t="shared" si="1"/>
        <v>181</v>
      </c>
    </row>
    <row r="32" spans="1:9" x14ac:dyDescent="0.3">
      <c r="A32" t="s">
        <v>77</v>
      </c>
      <c r="B32">
        <v>0.81989999999999996</v>
      </c>
      <c r="C32">
        <v>9.5</v>
      </c>
      <c r="D32">
        <v>82.79</v>
      </c>
      <c r="E32">
        <v>5</v>
      </c>
      <c r="H32">
        <f t="shared" si="0"/>
        <v>5</v>
      </c>
      <c r="I32" t="str">
        <f t="shared" si="1"/>
        <v/>
      </c>
    </row>
    <row r="33" spans="1:9" x14ac:dyDescent="0.3">
      <c r="A33" t="s">
        <v>4</v>
      </c>
      <c r="B33">
        <v>0.87480000000000002</v>
      </c>
      <c r="C33">
        <v>11.8</v>
      </c>
      <c r="D33">
        <v>87.38</v>
      </c>
      <c r="E33">
        <v>1047</v>
      </c>
      <c r="F33">
        <v>468</v>
      </c>
      <c r="G33">
        <v>11</v>
      </c>
      <c r="H33">
        <f t="shared" si="0"/>
        <v>1047</v>
      </c>
      <c r="I33">
        <f t="shared" si="1"/>
        <v>468</v>
      </c>
    </row>
    <row r="34" spans="1:9" x14ac:dyDescent="0.3">
      <c r="A34" t="s">
        <v>85</v>
      </c>
      <c r="B34">
        <v>0.85809999999999997</v>
      </c>
      <c r="C34">
        <v>11.2</v>
      </c>
      <c r="D34">
        <v>84.43</v>
      </c>
      <c r="G34">
        <v>6</v>
      </c>
      <c r="H34" t="str">
        <f t="shared" si="0"/>
        <v/>
      </c>
      <c r="I34" t="str">
        <f t="shared" si="1"/>
        <v/>
      </c>
    </row>
    <row r="35" spans="1:9" x14ac:dyDescent="0.3">
      <c r="A35" t="s">
        <v>51</v>
      </c>
      <c r="B35">
        <v>0.81920000000000004</v>
      </c>
      <c r="C35">
        <v>10.199999999999999</v>
      </c>
      <c r="D35">
        <v>84.32</v>
      </c>
      <c r="E35">
        <v>360</v>
      </c>
      <c r="F35">
        <v>172</v>
      </c>
      <c r="G35">
        <v>6</v>
      </c>
      <c r="H35">
        <f t="shared" si="0"/>
        <v>360</v>
      </c>
      <c r="I35">
        <f t="shared" si="1"/>
        <v>172</v>
      </c>
    </row>
    <row r="36" spans="1:9" x14ac:dyDescent="0.3">
      <c r="A36" t="s">
        <v>331</v>
      </c>
      <c r="B36">
        <v>0.81</v>
      </c>
      <c r="C36">
        <v>9.5</v>
      </c>
      <c r="D36">
        <v>82.46</v>
      </c>
      <c r="G36">
        <v>8</v>
      </c>
      <c r="H36" t="str">
        <f t="shared" si="0"/>
        <v/>
      </c>
      <c r="I36" t="str">
        <f t="shared" si="1"/>
        <v/>
      </c>
    </row>
    <row r="37" spans="1:9" x14ac:dyDescent="0.3">
      <c r="A37" t="s">
        <v>76</v>
      </c>
      <c r="B37">
        <v>0.82530000000000003</v>
      </c>
      <c r="C37">
        <v>10.7</v>
      </c>
      <c r="D37">
        <v>84.91</v>
      </c>
      <c r="H37" t="str">
        <f t="shared" si="0"/>
        <v/>
      </c>
      <c r="I37" t="str">
        <f t="shared" si="1"/>
        <v/>
      </c>
    </row>
    <row r="38" spans="1:9" x14ac:dyDescent="0.3">
      <c r="A38" t="s">
        <v>130</v>
      </c>
      <c r="B38">
        <v>0.7843</v>
      </c>
      <c r="C38">
        <v>9</v>
      </c>
      <c r="D38">
        <v>82.09</v>
      </c>
      <c r="G38">
        <v>8</v>
      </c>
      <c r="H38" t="str">
        <f t="shared" si="0"/>
        <v/>
      </c>
      <c r="I38" t="str">
        <f t="shared" si="1"/>
        <v/>
      </c>
    </row>
    <row r="39" spans="1:9" x14ac:dyDescent="0.3">
      <c r="A39" t="s">
        <v>56</v>
      </c>
      <c r="B39">
        <v>0.82369999999999999</v>
      </c>
      <c r="C39">
        <v>9.9</v>
      </c>
      <c r="D39">
        <v>85.92</v>
      </c>
      <c r="E39">
        <v>223</v>
      </c>
      <c r="F39">
        <v>132</v>
      </c>
      <c r="G39">
        <v>9</v>
      </c>
      <c r="H39">
        <f t="shared" si="0"/>
        <v>223</v>
      </c>
      <c r="I39">
        <f t="shared" si="1"/>
        <v>132</v>
      </c>
    </row>
    <row r="40" spans="1:9" x14ac:dyDescent="0.3">
      <c r="A40" t="s">
        <v>5</v>
      </c>
      <c r="B40">
        <v>0.8246</v>
      </c>
      <c r="C40">
        <v>10.9</v>
      </c>
      <c r="D40">
        <v>84.08</v>
      </c>
      <c r="G40">
        <v>10</v>
      </c>
      <c r="H40" t="str">
        <f t="shared" si="0"/>
        <v/>
      </c>
      <c r="I40" t="str">
        <f t="shared" si="1"/>
        <v/>
      </c>
    </row>
    <row r="41" spans="1:9" x14ac:dyDescent="0.3">
      <c r="A41" t="s">
        <v>9</v>
      </c>
      <c r="B41">
        <v>0.75739999999999996</v>
      </c>
      <c r="C41">
        <v>7.8</v>
      </c>
      <c r="D41">
        <v>80.28</v>
      </c>
      <c r="F41">
        <v>1</v>
      </c>
      <c r="G41">
        <v>11</v>
      </c>
      <c r="H41" t="str">
        <f t="shared" si="0"/>
        <v/>
      </c>
      <c r="I41">
        <f t="shared" si="1"/>
        <v>1</v>
      </c>
    </row>
    <row r="42" spans="1:9" x14ac:dyDescent="0.3">
      <c r="A42" t="s">
        <v>332</v>
      </c>
      <c r="B42">
        <v>0.81310000000000004</v>
      </c>
      <c r="C42">
        <v>7.7</v>
      </c>
      <c r="D42">
        <v>80.099999999999994</v>
      </c>
      <c r="G42">
        <v>12</v>
      </c>
      <c r="H42" t="str">
        <f t="shared" si="0"/>
        <v/>
      </c>
      <c r="I42" t="str">
        <f t="shared" si="1"/>
        <v/>
      </c>
    </row>
    <row r="43" spans="1:9" x14ac:dyDescent="0.3">
      <c r="A43" t="s">
        <v>16</v>
      </c>
      <c r="B43">
        <v>0.83050000000000002</v>
      </c>
      <c r="C43">
        <v>9.6</v>
      </c>
      <c r="D43">
        <v>83.99</v>
      </c>
      <c r="G43">
        <v>10</v>
      </c>
      <c r="H43" t="str">
        <f t="shared" si="0"/>
        <v/>
      </c>
      <c r="I43" t="str">
        <f t="shared" si="1"/>
        <v/>
      </c>
    </row>
    <row r="44" spans="1:9" x14ac:dyDescent="0.3">
      <c r="A44" t="s">
        <v>0</v>
      </c>
      <c r="B44">
        <v>0.81469999999999998</v>
      </c>
      <c r="C44">
        <v>10.199999999999999</v>
      </c>
      <c r="D44">
        <v>85.19</v>
      </c>
      <c r="H44" t="str">
        <f t="shared" si="0"/>
        <v/>
      </c>
      <c r="I44" t="str">
        <f t="shared" si="1"/>
        <v/>
      </c>
    </row>
    <row r="45" spans="1:9" x14ac:dyDescent="0.3">
      <c r="A45" t="s">
        <v>43</v>
      </c>
      <c r="B45">
        <v>0.76590000000000003</v>
      </c>
      <c r="C45">
        <v>7.9</v>
      </c>
      <c r="D45">
        <v>84.12</v>
      </c>
      <c r="E45">
        <v>126</v>
      </c>
      <c r="F45">
        <v>108</v>
      </c>
      <c r="G45">
        <v>11</v>
      </c>
      <c r="H45">
        <f t="shared" si="0"/>
        <v>126</v>
      </c>
      <c r="I45">
        <f t="shared" si="1"/>
        <v>108</v>
      </c>
    </row>
    <row r="46" spans="1:9" x14ac:dyDescent="0.3">
      <c r="A46" t="s">
        <v>333</v>
      </c>
      <c r="B46">
        <v>0.78300000000000003</v>
      </c>
      <c r="C46">
        <v>8.5</v>
      </c>
      <c r="D46">
        <v>82.53</v>
      </c>
      <c r="E46">
        <v>18</v>
      </c>
      <c r="F46">
        <v>25</v>
      </c>
      <c r="H46">
        <f t="shared" si="0"/>
        <v>18</v>
      </c>
      <c r="I46">
        <f t="shared" si="1"/>
        <v>25</v>
      </c>
    </row>
    <row r="47" spans="1:9" x14ac:dyDescent="0.3">
      <c r="A47" t="s">
        <v>125</v>
      </c>
      <c r="B47">
        <v>0.78439999999999999</v>
      </c>
      <c r="C47">
        <v>9.1999999999999993</v>
      </c>
      <c r="D47">
        <v>83.3</v>
      </c>
      <c r="G47">
        <v>8</v>
      </c>
      <c r="H47" t="str">
        <f t="shared" si="0"/>
        <v/>
      </c>
      <c r="I47" t="str">
        <f t="shared" si="1"/>
        <v/>
      </c>
    </row>
    <row r="48" spans="1:9" x14ac:dyDescent="0.3">
      <c r="A48" t="s">
        <v>305</v>
      </c>
      <c r="B48">
        <v>0.8014</v>
      </c>
      <c r="C48">
        <v>9.1999999999999993</v>
      </c>
      <c r="D48">
        <v>84.78</v>
      </c>
      <c r="G48">
        <v>10</v>
      </c>
      <c r="H48" t="str">
        <f t="shared" si="0"/>
        <v/>
      </c>
      <c r="I48" t="str">
        <f t="shared" si="1"/>
        <v/>
      </c>
    </row>
    <row r="49" spans="1:9" x14ac:dyDescent="0.3">
      <c r="A49" t="s">
        <v>306</v>
      </c>
      <c r="B49">
        <v>0.77380000000000004</v>
      </c>
      <c r="C49">
        <v>8.3000000000000007</v>
      </c>
      <c r="D49">
        <v>82.36</v>
      </c>
      <c r="H49" t="str">
        <f t="shared" si="0"/>
        <v/>
      </c>
      <c r="I49" t="str">
        <f t="shared" si="1"/>
        <v/>
      </c>
    </row>
    <row r="50" spans="1:9" x14ac:dyDescent="0.3">
      <c r="A50" t="s">
        <v>17</v>
      </c>
      <c r="B50">
        <v>0.80820000000000003</v>
      </c>
      <c r="C50">
        <v>8.5</v>
      </c>
      <c r="D50">
        <v>83.14</v>
      </c>
      <c r="H50" t="str">
        <f t="shared" si="0"/>
        <v/>
      </c>
      <c r="I50" t="str">
        <f t="shared" si="1"/>
        <v/>
      </c>
    </row>
    <row r="51" spans="1:9" x14ac:dyDescent="0.3">
      <c r="A51" t="s">
        <v>87</v>
      </c>
      <c r="B51">
        <v>0.78820000000000001</v>
      </c>
      <c r="C51">
        <v>8.5</v>
      </c>
      <c r="D51">
        <v>82.24</v>
      </c>
      <c r="H51" t="str">
        <f t="shared" si="0"/>
        <v/>
      </c>
      <c r="I51" t="str">
        <f t="shared" si="1"/>
        <v/>
      </c>
    </row>
    <row r="52" spans="1:9" x14ac:dyDescent="0.3">
      <c r="A52" t="s">
        <v>84</v>
      </c>
      <c r="B52">
        <v>0.82210000000000005</v>
      </c>
      <c r="C52">
        <v>8.1</v>
      </c>
      <c r="D52">
        <v>81.95</v>
      </c>
      <c r="E52">
        <v>1</v>
      </c>
      <c r="G52">
        <v>12</v>
      </c>
      <c r="H52">
        <f t="shared" si="0"/>
        <v>1</v>
      </c>
      <c r="I52" t="str">
        <f t="shared" si="1"/>
        <v/>
      </c>
    </row>
    <row r="53" spans="1:9" x14ac:dyDescent="0.3">
      <c r="A53" t="s">
        <v>78</v>
      </c>
      <c r="B53">
        <v>0.79259999999999997</v>
      </c>
      <c r="C53">
        <v>9.6</v>
      </c>
      <c r="D53">
        <v>82.55</v>
      </c>
      <c r="H53" t="str">
        <f t="shared" si="0"/>
        <v/>
      </c>
      <c r="I53" t="str">
        <f t="shared" si="1"/>
        <v/>
      </c>
    </row>
    <row r="54" spans="1:9" x14ac:dyDescent="0.3">
      <c r="A54" t="s">
        <v>8</v>
      </c>
      <c r="B54">
        <v>0.72050000000000003</v>
      </c>
      <c r="C54">
        <v>6.6</v>
      </c>
      <c r="D54">
        <v>80.680000000000007</v>
      </c>
      <c r="E54">
        <v>2</v>
      </c>
      <c r="F54">
        <v>48</v>
      </c>
      <c r="H54">
        <f t="shared" si="0"/>
        <v>2</v>
      </c>
      <c r="I54">
        <f t="shared" si="1"/>
        <v>48</v>
      </c>
    </row>
    <row r="55" spans="1:9" x14ac:dyDescent="0.3">
      <c r="A55" t="s">
        <v>134</v>
      </c>
      <c r="B55">
        <v>0.74580000000000002</v>
      </c>
      <c r="C55">
        <v>5.9</v>
      </c>
      <c r="D55">
        <v>79.91</v>
      </c>
      <c r="H55" t="str">
        <f t="shared" si="0"/>
        <v/>
      </c>
      <c r="I55" t="str">
        <f t="shared" si="1"/>
        <v/>
      </c>
    </row>
    <row r="56" spans="1:9" x14ac:dyDescent="0.3">
      <c r="A56" t="s">
        <v>14</v>
      </c>
      <c r="B56">
        <v>0.74619999999999997</v>
      </c>
      <c r="C56">
        <v>9.5</v>
      </c>
      <c r="D56">
        <v>81.84</v>
      </c>
      <c r="E56">
        <v>12</v>
      </c>
      <c r="F56">
        <v>1</v>
      </c>
      <c r="G56">
        <v>7</v>
      </c>
      <c r="H56">
        <f t="shared" si="0"/>
        <v>12</v>
      </c>
      <c r="I56">
        <f t="shared" si="1"/>
        <v>1</v>
      </c>
    </row>
    <row r="57" spans="1:9" x14ac:dyDescent="0.3">
      <c r="A57" t="s">
        <v>39</v>
      </c>
      <c r="B57">
        <v>0.80059999999999998</v>
      </c>
      <c r="C57">
        <v>9</v>
      </c>
      <c r="D57">
        <v>82.15</v>
      </c>
      <c r="E57">
        <v>10</v>
      </c>
      <c r="F57">
        <v>5</v>
      </c>
      <c r="G57">
        <v>9</v>
      </c>
      <c r="H57">
        <f t="shared" si="0"/>
        <v>10</v>
      </c>
      <c r="I57">
        <f t="shared" si="1"/>
        <v>5</v>
      </c>
    </row>
    <row r="58" spans="1:9" x14ac:dyDescent="0.3">
      <c r="A58" t="s">
        <v>235</v>
      </c>
      <c r="B58">
        <v>0.81559999999999999</v>
      </c>
      <c r="C58">
        <v>7.8</v>
      </c>
      <c r="D58">
        <v>82.56</v>
      </c>
      <c r="E58">
        <v>2</v>
      </c>
      <c r="F58">
        <v>10</v>
      </c>
      <c r="H58">
        <f t="shared" si="0"/>
        <v>2</v>
      </c>
      <c r="I58">
        <f t="shared" si="1"/>
        <v>10</v>
      </c>
    </row>
    <row r="59" spans="1:9" x14ac:dyDescent="0.3">
      <c r="A59" t="s">
        <v>21</v>
      </c>
      <c r="B59">
        <v>0.77569999999999995</v>
      </c>
      <c r="C59">
        <v>7.9</v>
      </c>
      <c r="D59">
        <v>83.56</v>
      </c>
      <c r="E59">
        <v>5</v>
      </c>
      <c r="H59">
        <f t="shared" si="0"/>
        <v>5</v>
      </c>
      <c r="I59" t="str">
        <f t="shared" si="1"/>
        <v/>
      </c>
    </row>
    <row r="60" spans="1:9" x14ac:dyDescent="0.3">
      <c r="A60" t="s">
        <v>7</v>
      </c>
      <c r="B60">
        <v>0.86129999999999995</v>
      </c>
      <c r="C60">
        <v>6.7</v>
      </c>
      <c r="D60">
        <v>82.31</v>
      </c>
      <c r="F60">
        <v>2</v>
      </c>
      <c r="G60">
        <v>14</v>
      </c>
      <c r="H60" t="str">
        <f t="shared" si="0"/>
        <v/>
      </c>
      <c r="I60">
        <f t="shared" si="1"/>
        <v>2</v>
      </c>
    </row>
    <row r="61" spans="1:9" x14ac:dyDescent="0.3">
      <c r="A61" t="s">
        <v>243</v>
      </c>
      <c r="B61">
        <v>0.74829999999999997</v>
      </c>
      <c r="C61">
        <v>7.6</v>
      </c>
      <c r="D61">
        <v>80.73</v>
      </c>
      <c r="G61">
        <v>7</v>
      </c>
      <c r="H61" t="str">
        <f t="shared" si="0"/>
        <v/>
      </c>
      <c r="I61" t="str">
        <f t="shared" si="1"/>
        <v/>
      </c>
    </row>
    <row r="62" spans="1:9" x14ac:dyDescent="0.3">
      <c r="A62" t="s">
        <v>171</v>
      </c>
      <c r="B62">
        <v>0.75149999999999995</v>
      </c>
      <c r="C62">
        <v>6.9</v>
      </c>
      <c r="D62">
        <v>80.319999999999993</v>
      </c>
      <c r="H62" t="str">
        <f t="shared" si="0"/>
        <v/>
      </c>
      <c r="I62" t="str">
        <f t="shared" si="1"/>
        <v/>
      </c>
    </row>
    <row r="63" spans="1:9" x14ac:dyDescent="0.3">
      <c r="A63" t="s">
        <v>82</v>
      </c>
      <c r="B63">
        <v>0.77200000000000002</v>
      </c>
      <c r="C63">
        <v>8.8000000000000007</v>
      </c>
      <c r="D63">
        <v>81.87</v>
      </c>
      <c r="H63" t="str">
        <f t="shared" si="0"/>
        <v/>
      </c>
      <c r="I63" t="str">
        <f t="shared" si="1"/>
        <v/>
      </c>
    </row>
    <row r="64" spans="1:9" x14ac:dyDescent="0.3">
      <c r="A64" t="s">
        <v>136</v>
      </c>
      <c r="B64">
        <v>0.72340000000000004</v>
      </c>
      <c r="C64">
        <v>5.9</v>
      </c>
      <c r="D64">
        <v>78.56</v>
      </c>
      <c r="H64" t="str">
        <f t="shared" si="0"/>
        <v/>
      </c>
      <c r="I64" t="str">
        <f t="shared" si="1"/>
        <v/>
      </c>
    </row>
    <row r="65" spans="1:9" x14ac:dyDescent="0.3">
      <c r="A65" t="s">
        <v>3</v>
      </c>
      <c r="B65">
        <v>0.76239999999999997</v>
      </c>
      <c r="C65">
        <v>9.1999999999999993</v>
      </c>
      <c r="D65">
        <v>82.05</v>
      </c>
      <c r="G65">
        <v>8</v>
      </c>
      <c r="H65" t="str">
        <f t="shared" si="0"/>
        <v/>
      </c>
      <c r="I65" t="str">
        <f t="shared" si="1"/>
        <v/>
      </c>
    </row>
    <row r="66" spans="1:9" x14ac:dyDescent="0.3">
      <c r="A66" t="s">
        <v>97</v>
      </c>
      <c r="B66">
        <v>0.74690000000000001</v>
      </c>
      <c r="C66">
        <v>8.1</v>
      </c>
      <c r="D66">
        <v>81.17</v>
      </c>
      <c r="H66" t="str">
        <f t="shared" si="0"/>
        <v/>
      </c>
      <c r="I66" t="str">
        <f t="shared" si="1"/>
        <v/>
      </c>
    </row>
    <row r="67" spans="1:9" x14ac:dyDescent="0.3">
      <c r="A67" t="s">
        <v>31</v>
      </c>
      <c r="B67">
        <v>0.71079999999999999</v>
      </c>
      <c r="C67">
        <v>6.5</v>
      </c>
      <c r="D67">
        <v>79.92</v>
      </c>
      <c r="E67">
        <v>19</v>
      </c>
      <c r="F67">
        <v>36</v>
      </c>
      <c r="H67">
        <f t="shared" ref="H67:H130" si="2">IF(E67&lt;&gt;"",E67,"")</f>
        <v>19</v>
      </c>
      <c r="I67">
        <f t="shared" ref="I67:I130" si="3">IF(F67&lt;&gt;"",F67,"")</f>
        <v>36</v>
      </c>
    </row>
    <row r="68" spans="1:9" x14ac:dyDescent="0.3">
      <c r="A68" t="s">
        <v>58</v>
      </c>
      <c r="B68">
        <v>0.70430000000000004</v>
      </c>
      <c r="C68">
        <v>7</v>
      </c>
      <c r="D68">
        <v>80.37</v>
      </c>
      <c r="H68" t="str">
        <f t="shared" si="2"/>
        <v/>
      </c>
      <c r="I68" t="str">
        <f t="shared" si="3"/>
        <v/>
      </c>
    </row>
    <row r="69" spans="1:9" x14ac:dyDescent="0.3">
      <c r="A69" t="s">
        <v>334</v>
      </c>
      <c r="B69">
        <v>0.72850000000000004</v>
      </c>
      <c r="C69">
        <v>7</v>
      </c>
      <c r="D69">
        <v>80.14</v>
      </c>
      <c r="F69">
        <v>2</v>
      </c>
      <c r="H69" t="str">
        <f t="shared" si="2"/>
        <v/>
      </c>
      <c r="I69">
        <f t="shared" si="3"/>
        <v>2</v>
      </c>
    </row>
    <row r="70" spans="1:9" x14ac:dyDescent="0.3">
      <c r="A70" t="s">
        <v>248</v>
      </c>
      <c r="B70">
        <v>0.71830000000000005</v>
      </c>
      <c r="C70">
        <v>6.3</v>
      </c>
      <c r="D70">
        <v>78.23</v>
      </c>
      <c r="G70">
        <v>12</v>
      </c>
      <c r="H70" t="str">
        <f t="shared" si="2"/>
        <v/>
      </c>
      <c r="I70" t="str">
        <f t="shared" si="3"/>
        <v/>
      </c>
    </row>
    <row r="71" spans="1:9" x14ac:dyDescent="0.3">
      <c r="A71" t="s">
        <v>113</v>
      </c>
      <c r="B71">
        <v>0.78869999999999996</v>
      </c>
      <c r="C71">
        <v>6.9</v>
      </c>
      <c r="D71">
        <v>80.48</v>
      </c>
      <c r="G71">
        <v>13</v>
      </c>
      <c r="H71" t="str">
        <f t="shared" si="2"/>
        <v/>
      </c>
      <c r="I71" t="str">
        <f t="shared" si="3"/>
        <v/>
      </c>
    </row>
    <row r="72" spans="1:9" x14ac:dyDescent="0.3">
      <c r="A72" t="s">
        <v>335</v>
      </c>
      <c r="B72">
        <v>0.71209999999999996</v>
      </c>
      <c r="C72">
        <v>5.9</v>
      </c>
      <c r="D72">
        <v>79.02</v>
      </c>
      <c r="H72" t="str">
        <f t="shared" si="2"/>
        <v/>
      </c>
      <c r="I72" t="str">
        <f t="shared" si="3"/>
        <v/>
      </c>
    </row>
    <row r="73" spans="1:9" x14ac:dyDescent="0.3">
      <c r="A73" t="s">
        <v>307</v>
      </c>
      <c r="B73">
        <v>0.70899999999999996</v>
      </c>
      <c r="C73">
        <v>7.7</v>
      </c>
      <c r="D73">
        <v>80.37</v>
      </c>
      <c r="H73" t="str">
        <f t="shared" si="2"/>
        <v/>
      </c>
      <c r="I73" t="str">
        <f t="shared" si="3"/>
        <v/>
      </c>
    </row>
    <row r="74" spans="1:9" x14ac:dyDescent="0.3">
      <c r="A74" t="s">
        <v>52</v>
      </c>
      <c r="B74">
        <v>0.73860000000000003</v>
      </c>
      <c r="C74">
        <v>7.1</v>
      </c>
      <c r="D74">
        <v>80.709999999999994</v>
      </c>
      <c r="E74">
        <v>23</v>
      </c>
      <c r="F74">
        <v>45</v>
      </c>
      <c r="H74">
        <f t="shared" si="2"/>
        <v>23</v>
      </c>
      <c r="I74">
        <f t="shared" si="3"/>
        <v>45</v>
      </c>
    </row>
    <row r="75" spans="1:9" x14ac:dyDescent="0.3">
      <c r="A75" t="s">
        <v>59</v>
      </c>
      <c r="B75">
        <v>0.70069999999999999</v>
      </c>
      <c r="C75">
        <v>6.8</v>
      </c>
      <c r="D75">
        <v>79.22</v>
      </c>
      <c r="E75">
        <v>268</v>
      </c>
      <c r="F75">
        <v>163</v>
      </c>
      <c r="H75">
        <f t="shared" si="2"/>
        <v>268</v>
      </c>
      <c r="I75">
        <f t="shared" si="3"/>
        <v>163</v>
      </c>
    </row>
    <row r="76" spans="1:9" x14ac:dyDescent="0.3">
      <c r="A76" t="s">
        <v>117</v>
      </c>
      <c r="B76">
        <v>0.68810000000000004</v>
      </c>
      <c r="C76">
        <v>5</v>
      </c>
      <c r="D76">
        <v>77.34</v>
      </c>
      <c r="G76">
        <v>13</v>
      </c>
      <c r="H76" t="str">
        <f t="shared" si="2"/>
        <v/>
      </c>
      <c r="I76" t="str">
        <f t="shared" si="3"/>
        <v/>
      </c>
    </row>
    <row r="77" spans="1:9" x14ac:dyDescent="0.3">
      <c r="A77" t="s">
        <v>310</v>
      </c>
      <c r="B77">
        <v>0.6976</v>
      </c>
      <c r="C77">
        <v>5.6</v>
      </c>
      <c r="D77">
        <v>77.319999999999993</v>
      </c>
      <c r="H77" t="str">
        <f t="shared" si="2"/>
        <v/>
      </c>
      <c r="I77" t="str">
        <f t="shared" si="3"/>
        <v/>
      </c>
    </row>
    <row r="78" spans="1:9" x14ac:dyDescent="0.3">
      <c r="A78" t="s">
        <v>311</v>
      </c>
      <c r="B78">
        <v>0.72409999999999997</v>
      </c>
      <c r="C78">
        <v>6.4</v>
      </c>
      <c r="D78">
        <v>77.58</v>
      </c>
      <c r="G78">
        <v>13</v>
      </c>
      <c r="H78" t="str">
        <f t="shared" si="2"/>
        <v/>
      </c>
      <c r="I78" t="str">
        <f t="shared" si="3"/>
        <v/>
      </c>
    </row>
    <row r="79" spans="1:9" x14ac:dyDescent="0.3">
      <c r="A79" t="s">
        <v>20</v>
      </c>
      <c r="B79">
        <v>0.64980000000000004</v>
      </c>
      <c r="C79">
        <v>5.2</v>
      </c>
      <c r="D79">
        <v>77.92</v>
      </c>
      <c r="H79" t="str">
        <f t="shared" si="2"/>
        <v/>
      </c>
      <c r="I79" t="str">
        <f t="shared" si="3"/>
        <v/>
      </c>
    </row>
    <row r="80" spans="1:9" x14ac:dyDescent="0.3">
      <c r="A80" t="s">
        <v>108</v>
      </c>
      <c r="B80">
        <v>0.71279999999999999</v>
      </c>
      <c r="C80">
        <v>5.2</v>
      </c>
      <c r="D80">
        <v>76.7</v>
      </c>
      <c r="H80" t="str">
        <f t="shared" si="2"/>
        <v/>
      </c>
      <c r="I80" t="str">
        <f t="shared" si="3"/>
        <v/>
      </c>
    </row>
    <row r="81" spans="1:9" x14ac:dyDescent="0.3">
      <c r="A81" t="s">
        <v>64</v>
      </c>
      <c r="B81">
        <v>0.74609999999999999</v>
      </c>
      <c r="C81">
        <v>8.3000000000000007</v>
      </c>
      <c r="D81">
        <v>80</v>
      </c>
      <c r="H81" t="str">
        <f t="shared" si="2"/>
        <v/>
      </c>
      <c r="I81" t="str">
        <f t="shared" si="3"/>
        <v/>
      </c>
    </row>
    <row r="82" spans="1:9" x14ac:dyDescent="0.3">
      <c r="A82" t="s">
        <v>70</v>
      </c>
      <c r="B82">
        <v>0.68289999999999995</v>
      </c>
      <c r="C82">
        <v>6</v>
      </c>
      <c r="D82">
        <v>77.819999999999993</v>
      </c>
      <c r="H82" t="str">
        <f t="shared" si="2"/>
        <v/>
      </c>
      <c r="I82" t="str">
        <f t="shared" si="3"/>
        <v/>
      </c>
    </row>
    <row r="83" spans="1:9" x14ac:dyDescent="0.3">
      <c r="A83" t="s">
        <v>309</v>
      </c>
      <c r="B83">
        <v>0.68559999999999999</v>
      </c>
      <c r="C83">
        <v>6.5</v>
      </c>
      <c r="D83">
        <v>77.63</v>
      </c>
      <c r="H83" t="str">
        <f t="shared" si="2"/>
        <v/>
      </c>
      <c r="I83" t="str">
        <f t="shared" si="3"/>
        <v/>
      </c>
    </row>
    <row r="84" spans="1:9" x14ac:dyDescent="0.3">
      <c r="A84" t="s">
        <v>308</v>
      </c>
      <c r="B84">
        <v>0.68640000000000001</v>
      </c>
      <c r="C84">
        <v>6.5</v>
      </c>
      <c r="D84">
        <v>78.92</v>
      </c>
      <c r="E84">
        <v>17</v>
      </c>
      <c r="H84">
        <f t="shared" si="2"/>
        <v>17</v>
      </c>
      <c r="I84" t="str">
        <f t="shared" si="3"/>
        <v/>
      </c>
    </row>
    <row r="85" spans="1:9" x14ac:dyDescent="0.3">
      <c r="A85" t="s">
        <v>98</v>
      </c>
      <c r="B85">
        <v>0.71440000000000003</v>
      </c>
      <c r="C85">
        <v>6.7</v>
      </c>
      <c r="D85">
        <v>80.849999999999994</v>
      </c>
      <c r="H85" t="str">
        <f t="shared" si="2"/>
        <v/>
      </c>
      <c r="I85" t="str">
        <f t="shared" si="3"/>
        <v/>
      </c>
    </row>
    <row r="86" spans="1:9" x14ac:dyDescent="0.3">
      <c r="A86" t="s">
        <v>88</v>
      </c>
      <c r="B86">
        <v>0.70699999999999996</v>
      </c>
      <c r="C86">
        <v>4.5999999999999996</v>
      </c>
      <c r="D86">
        <v>76.61</v>
      </c>
      <c r="E86">
        <v>1</v>
      </c>
      <c r="G86">
        <v>13</v>
      </c>
      <c r="H86">
        <f t="shared" si="2"/>
        <v>1</v>
      </c>
      <c r="I86" t="str">
        <f t="shared" si="3"/>
        <v/>
      </c>
    </row>
    <row r="87" spans="1:9" x14ac:dyDescent="0.3">
      <c r="A87" t="s">
        <v>99</v>
      </c>
      <c r="B87">
        <v>0.69850000000000001</v>
      </c>
      <c r="C87">
        <v>6.6</v>
      </c>
      <c r="D87">
        <v>77.88</v>
      </c>
      <c r="H87" t="str">
        <f t="shared" si="2"/>
        <v/>
      </c>
      <c r="I87" t="str">
        <f t="shared" si="3"/>
        <v/>
      </c>
    </row>
    <row r="88" spans="1:9" x14ac:dyDescent="0.3">
      <c r="A88" t="s">
        <v>234</v>
      </c>
      <c r="B88">
        <v>0.73360000000000003</v>
      </c>
      <c r="C88">
        <v>6.2</v>
      </c>
      <c r="D88">
        <v>79.069999999999993</v>
      </c>
      <c r="H88" t="str">
        <f t="shared" si="2"/>
        <v/>
      </c>
      <c r="I88" t="str">
        <f t="shared" si="3"/>
        <v/>
      </c>
    </row>
    <row r="89" spans="1:9" x14ac:dyDescent="0.3">
      <c r="A89" t="s">
        <v>49</v>
      </c>
      <c r="B89">
        <v>0.74450000000000005</v>
      </c>
      <c r="C89">
        <v>5</v>
      </c>
      <c r="D89">
        <v>80.06</v>
      </c>
      <c r="G89">
        <v>11</v>
      </c>
      <c r="H89" t="str">
        <f t="shared" si="2"/>
        <v/>
      </c>
      <c r="I89" t="str">
        <f t="shared" si="3"/>
        <v/>
      </c>
    </row>
    <row r="90" spans="1:9" x14ac:dyDescent="0.3">
      <c r="A90" t="s">
        <v>110</v>
      </c>
      <c r="B90">
        <v>0.73360000000000003</v>
      </c>
      <c r="C90">
        <v>6.2</v>
      </c>
      <c r="D90">
        <v>79.819999999999993</v>
      </c>
      <c r="H90" t="str">
        <f t="shared" si="2"/>
        <v/>
      </c>
      <c r="I90" t="str">
        <f t="shared" si="3"/>
        <v/>
      </c>
    </row>
    <row r="91" spans="1:9" x14ac:dyDescent="0.3">
      <c r="A91" t="s">
        <v>114</v>
      </c>
      <c r="B91">
        <v>0.67469999999999997</v>
      </c>
      <c r="C91">
        <v>5.4</v>
      </c>
      <c r="D91">
        <v>78</v>
      </c>
      <c r="H91" t="str">
        <f t="shared" si="2"/>
        <v/>
      </c>
      <c r="I91" t="str">
        <f t="shared" si="3"/>
        <v/>
      </c>
    </row>
    <row r="92" spans="1:9" x14ac:dyDescent="0.3">
      <c r="A92" t="s">
        <v>237</v>
      </c>
      <c r="B92">
        <v>0.67410000000000003</v>
      </c>
      <c r="C92">
        <v>6</v>
      </c>
      <c r="D92">
        <v>78.55</v>
      </c>
      <c r="H92" t="str">
        <f t="shared" si="2"/>
        <v/>
      </c>
      <c r="I92" t="str">
        <f t="shared" si="3"/>
        <v/>
      </c>
    </row>
    <row r="93" spans="1:9" x14ac:dyDescent="0.3">
      <c r="A93" t="s">
        <v>74</v>
      </c>
      <c r="B93">
        <v>0.7006</v>
      </c>
      <c r="C93">
        <v>6.5</v>
      </c>
      <c r="D93">
        <v>77.83</v>
      </c>
      <c r="G93">
        <v>10</v>
      </c>
      <c r="H93" t="str">
        <f t="shared" si="2"/>
        <v/>
      </c>
      <c r="I93" t="str">
        <f t="shared" si="3"/>
        <v/>
      </c>
    </row>
    <row r="94" spans="1:9" x14ac:dyDescent="0.3">
      <c r="A94" t="s">
        <v>312</v>
      </c>
      <c r="B94">
        <v>0.6593</v>
      </c>
      <c r="C94">
        <v>4.4000000000000004</v>
      </c>
      <c r="D94">
        <v>78.56</v>
      </c>
      <c r="E94">
        <v>2</v>
      </c>
      <c r="H94">
        <f t="shared" si="2"/>
        <v>2</v>
      </c>
      <c r="I94" t="str">
        <f t="shared" si="3"/>
        <v/>
      </c>
    </row>
    <row r="95" spans="1:9" x14ac:dyDescent="0.3">
      <c r="A95" t="s">
        <v>238</v>
      </c>
      <c r="B95">
        <v>0.66920000000000002</v>
      </c>
      <c r="C95">
        <v>5.5</v>
      </c>
      <c r="D95">
        <v>78.56</v>
      </c>
      <c r="E95">
        <v>4</v>
      </c>
      <c r="F95">
        <v>5</v>
      </c>
      <c r="H95">
        <f t="shared" si="2"/>
        <v>4</v>
      </c>
      <c r="I95">
        <f t="shared" si="3"/>
        <v>5</v>
      </c>
    </row>
    <row r="96" spans="1:9" x14ac:dyDescent="0.3">
      <c r="A96" t="s">
        <v>336</v>
      </c>
      <c r="B96">
        <v>0.68799999999999994</v>
      </c>
      <c r="C96">
        <v>4.7</v>
      </c>
      <c r="D96">
        <v>77.819999999999993</v>
      </c>
      <c r="H96" t="str">
        <f t="shared" si="2"/>
        <v/>
      </c>
      <c r="I96" t="str">
        <f t="shared" si="3"/>
        <v/>
      </c>
    </row>
    <row r="97" spans="1:9" x14ac:dyDescent="0.3">
      <c r="A97" t="s">
        <v>100</v>
      </c>
      <c r="B97">
        <v>0.66339999999999999</v>
      </c>
      <c r="C97">
        <v>5.3</v>
      </c>
      <c r="D97">
        <v>77.739999999999995</v>
      </c>
      <c r="F97">
        <v>1</v>
      </c>
      <c r="H97" t="str">
        <f t="shared" si="2"/>
        <v/>
      </c>
      <c r="I97">
        <f t="shared" si="3"/>
        <v>1</v>
      </c>
    </row>
    <row r="98" spans="1:9" x14ac:dyDescent="0.3">
      <c r="A98" t="s">
        <v>15</v>
      </c>
      <c r="B98">
        <v>0.67300000000000004</v>
      </c>
      <c r="C98">
        <v>4.8</v>
      </c>
      <c r="D98">
        <v>79.38</v>
      </c>
      <c r="H98" t="str">
        <f t="shared" si="2"/>
        <v/>
      </c>
      <c r="I98" t="str">
        <f t="shared" si="3"/>
        <v/>
      </c>
    </row>
    <row r="99" spans="1:9" x14ac:dyDescent="0.3">
      <c r="A99" t="s">
        <v>94</v>
      </c>
      <c r="B99">
        <v>0.69720000000000004</v>
      </c>
      <c r="C99">
        <v>5.6</v>
      </c>
      <c r="D99">
        <v>77.08</v>
      </c>
      <c r="H99" t="str">
        <f t="shared" si="2"/>
        <v/>
      </c>
      <c r="I99" t="str">
        <f t="shared" si="3"/>
        <v/>
      </c>
    </row>
    <row r="100" spans="1:9" x14ac:dyDescent="0.3">
      <c r="A100" t="s">
        <v>142</v>
      </c>
      <c r="B100">
        <v>0.75880000000000003</v>
      </c>
      <c r="C100">
        <v>6.6</v>
      </c>
      <c r="D100">
        <v>79.97</v>
      </c>
      <c r="H100" t="str">
        <f t="shared" si="2"/>
        <v/>
      </c>
      <c r="I100" t="str">
        <f t="shared" si="3"/>
        <v/>
      </c>
    </row>
    <row r="101" spans="1:9" x14ac:dyDescent="0.3">
      <c r="A101" t="s">
        <v>72</v>
      </c>
      <c r="B101">
        <v>0.63949999999999996</v>
      </c>
      <c r="C101">
        <v>5.2</v>
      </c>
      <c r="D101">
        <v>77.81</v>
      </c>
      <c r="H101" t="str">
        <f t="shared" si="2"/>
        <v/>
      </c>
      <c r="I101" t="str">
        <f t="shared" si="3"/>
        <v/>
      </c>
    </row>
    <row r="102" spans="1:9" x14ac:dyDescent="0.3">
      <c r="A102" t="s">
        <v>95</v>
      </c>
      <c r="B102">
        <v>0.70040000000000002</v>
      </c>
      <c r="C102">
        <v>4.8</v>
      </c>
      <c r="D102">
        <v>77.63</v>
      </c>
      <c r="E102">
        <v>1</v>
      </c>
      <c r="H102">
        <f t="shared" si="2"/>
        <v>1</v>
      </c>
      <c r="I102" t="str">
        <f t="shared" si="3"/>
        <v/>
      </c>
    </row>
    <row r="103" spans="1:9" x14ac:dyDescent="0.3">
      <c r="A103" t="s">
        <v>115</v>
      </c>
      <c r="B103">
        <v>0.63849999999999996</v>
      </c>
      <c r="C103">
        <v>3.3</v>
      </c>
      <c r="D103">
        <v>75.55</v>
      </c>
      <c r="H103" t="str">
        <f t="shared" si="2"/>
        <v/>
      </c>
      <c r="I103" t="str">
        <f t="shared" si="3"/>
        <v/>
      </c>
    </row>
    <row r="104" spans="1:9" x14ac:dyDescent="0.3">
      <c r="A104" t="s">
        <v>337</v>
      </c>
      <c r="B104">
        <v>0.68659999999999999</v>
      </c>
      <c r="C104">
        <v>4</v>
      </c>
      <c r="D104">
        <v>76.349999999999994</v>
      </c>
      <c r="H104" t="str">
        <f t="shared" si="2"/>
        <v/>
      </c>
      <c r="I104" t="str">
        <f t="shared" si="3"/>
        <v/>
      </c>
    </row>
    <row r="105" spans="1:9" x14ac:dyDescent="0.3">
      <c r="A105" t="s">
        <v>2</v>
      </c>
      <c r="B105">
        <v>0.61280000000000001</v>
      </c>
      <c r="C105">
        <v>2</v>
      </c>
      <c r="D105">
        <v>74.680000000000007</v>
      </c>
      <c r="H105" t="str">
        <f t="shared" si="2"/>
        <v/>
      </c>
      <c r="I105" t="str">
        <f t="shared" si="3"/>
        <v/>
      </c>
    </row>
    <row r="106" spans="1:9" x14ac:dyDescent="0.3">
      <c r="A106" t="s">
        <v>313</v>
      </c>
      <c r="B106">
        <v>0.70069999999999999</v>
      </c>
      <c r="C106">
        <v>3.2</v>
      </c>
      <c r="D106">
        <v>76.92</v>
      </c>
      <c r="H106" t="str">
        <f t="shared" si="2"/>
        <v/>
      </c>
      <c r="I106" t="str">
        <f t="shared" si="3"/>
        <v/>
      </c>
    </row>
    <row r="107" spans="1:9" x14ac:dyDescent="0.3">
      <c r="A107" t="s">
        <v>121</v>
      </c>
      <c r="B107">
        <v>0.63339999999999996</v>
      </c>
      <c r="C107">
        <v>5.4</v>
      </c>
      <c r="D107">
        <v>75.790000000000006</v>
      </c>
      <c r="G107">
        <v>12</v>
      </c>
      <c r="H107" t="str">
        <f t="shared" si="2"/>
        <v/>
      </c>
      <c r="I107" t="str">
        <f t="shared" si="3"/>
        <v/>
      </c>
    </row>
    <row r="108" spans="1:9" x14ac:dyDescent="0.3">
      <c r="A108" t="s">
        <v>267</v>
      </c>
      <c r="B108">
        <v>0.68889999999999996</v>
      </c>
      <c r="C108">
        <v>3.6</v>
      </c>
      <c r="D108">
        <v>75.209999999999994</v>
      </c>
      <c r="G108">
        <v>15</v>
      </c>
      <c r="H108" t="str">
        <f t="shared" si="2"/>
        <v/>
      </c>
      <c r="I108" t="str">
        <f t="shared" si="3"/>
        <v/>
      </c>
    </row>
    <row r="109" spans="1:9" x14ac:dyDescent="0.3">
      <c r="A109" t="s">
        <v>195</v>
      </c>
      <c r="B109">
        <v>0.59360000000000002</v>
      </c>
      <c r="C109">
        <v>2.6</v>
      </c>
      <c r="D109">
        <v>74.790000000000006</v>
      </c>
      <c r="H109" t="str">
        <f t="shared" si="2"/>
        <v/>
      </c>
      <c r="I109" t="str">
        <f t="shared" si="3"/>
        <v/>
      </c>
    </row>
    <row r="110" spans="1:9" x14ac:dyDescent="0.3">
      <c r="A110" t="s">
        <v>38</v>
      </c>
      <c r="B110">
        <v>0.6331</v>
      </c>
      <c r="C110">
        <v>4.8</v>
      </c>
      <c r="D110">
        <v>78.349999999999994</v>
      </c>
      <c r="H110" t="str">
        <f t="shared" si="2"/>
        <v/>
      </c>
      <c r="I110" t="str">
        <f t="shared" si="3"/>
        <v/>
      </c>
    </row>
    <row r="111" spans="1:9" x14ac:dyDescent="0.3">
      <c r="A111" t="s">
        <v>60</v>
      </c>
      <c r="B111">
        <v>0.629</v>
      </c>
      <c r="C111">
        <v>4.8</v>
      </c>
      <c r="D111">
        <v>76.56</v>
      </c>
      <c r="F111">
        <v>5</v>
      </c>
      <c r="H111" t="str">
        <f t="shared" si="2"/>
        <v/>
      </c>
      <c r="I111">
        <f t="shared" si="3"/>
        <v>5</v>
      </c>
    </row>
    <row r="112" spans="1:9" x14ac:dyDescent="0.3">
      <c r="A112" t="s">
        <v>29</v>
      </c>
      <c r="B112">
        <v>0.72430000000000005</v>
      </c>
      <c r="C112">
        <v>6.6</v>
      </c>
      <c r="D112">
        <v>79.98</v>
      </c>
      <c r="H112" t="str">
        <f t="shared" si="2"/>
        <v/>
      </c>
      <c r="I112" t="str">
        <f t="shared" si="3"/>
        <v/>
      </c>
    </row>
    <row r="113" spans="1:9" x14ac:dyDescent="0.3">
      <c r="A113" t="s">
        <v>46</v>
      </c>
      <c r="B113">
        <v>0.60540000000000005</v>
      </c>
      <c r="C113">
        <v>3.2</v>
      </c>
      <c r="D113">
        <v>75.36</v>
      </c>
      <c r="H113" t="str">
        <f t="shared" si="2"/>
        <v/>
      </c>
      <c r="I113" t="str">
        <f t="shared" si="3"/>
        <v/>
      </c>
    </row>
    <row r="114" spans="1:9" x14ac:dyDescent="0.3">
      <c r="A114" t="s">
        <v>338</v>
      </c>
      <c r="B114">
        <v>0.6502</v>
      </c>
      <c r="C114">
        <v>2.4</v>
      </c>
      <c r="D114">
        <v>75.430000000000007</v>
      </c>
      <c r="H114" t="str">
        <f t="shared" si="2"/>
        <v/>
      </c>
      <c r="I114" t="str">
        <f t="shared" si="3"/>
        <v/>
      </c>
    </row>
    <row r="115" spans="1:9" x14ac:dyDescent="0.3">
      <c r="A115" t="s">
        <v>240</v>
      </c>
      <c r="B115">
        <v>0.62060000000000004</v>
      </c>
      <c r="C115">
        <v>1.9</v>
      </c>
      <c r="D115">
        <v>75.010000000000005</v>
      </c>
      <c r="H115" t="str">
        <f t="shared" si="2"/>
        <v/>
      </c>
      <c r="I115" t="str">
        <f t="shared" si="3"/>
        <v/>
      </c>
    </row>
    <row r="116" spans="1:9" x14ac:dyDescent="0.3">
      <c r="A116" t="s">
        <v>107</v>
      </c>
      <c r="B116">
        <v>0.62560000000000004</v>
      </c>
      <c r="C116">
        <v>3.5</v>
      </c>
      <c r="D116">
        <v>75.88</v>
      </c>
      <c r="H116" t="str">
        <f t="shared" si="2"/>
        <v/>
      </c>
      <c r="I116" t="str">
        <f t="shared" si="3"/>
        <v/>
      </c>
    </row>
    <row r="117" spans="1:9" x14ac:dyDescent="0.3">
      <c r="A117" t="s">
        <v>93</v>
      </c>
      <c r="B117">
        <v>0.56169999999999998</v>
      </c>
      <c r="C117">
        <v>3.9</v>
      </c>
      <c r="D117">
        <v>76.540000000000006</v>
      </c>
      <c r="H117" t="str">
        <f t="shared" si="2"/>
        <v/>
      </c>
      <c r="I117" t="str">
        <f t="shared" si="3"/>
        <v/>
      </c>
    </row>
    <row r="118" spans="1:9" x14ac:dyDescent="0.3">
      <c r="A118" t="s">
        <v>245</v>
      </c>
      <c r="B118">
        <v>0.66120000000000001</v>
      </c>
      <c r="C118">
        <v>3.2</v>
      </c>
      <c r="D118">
        <v>76.040000000000006</v>
      </c>
      <c r="H118" t="str">
        <f t="shared" si="2"/>
        <v/>
      </c>
      <c r="I118" t="str">
        <f t="shared" si="3"/>
        <v/>
      </c>
    </row>
    <row r="119" spans="1:9" x14ac:dyDescent="0.3">
      <c r="A119" t="s">
        <v>276</v>
      </c>
      <c r="B119">
        <v>0.60250000000000004</v>
      </c>
      <c r="C119">
        <v>3.1</v>
      </c>
      <c r="D119">
        <v>73.989999999999995</v>
      </c>
      <c r="H119" t="str">
        <f t="shared" si="2"/>
        <v/>
      </c>
      <c r="I119" t="str">
        <f t="shared" si="3"/>
        <v/>
      </c>
    </row>
    <row r="120" spans="1:9" x14ac:dyDescent="0.3">
      <c r="A120" t="s">
        <v>79</v>
      </c>
      <c r="B120">
        <v>0.57809999999999995</v>
      </c>
      <c r="C120">
        <v>2.5</v>
      </c>
      <c r="D120">
        <v>75.14</v>
      </c>
      <c r="H120" t="str">
        <f t="shared" si="2"/>
        <v/>
      </c>
      <c r="I120" t="str">
        <f t="shared" si="3"/>
        <v/>
      </c>
    </row>
    <row r="121" spans="1:9" x14ac:dyDescent="0.3">
      <c r="A121" t="s">
        <v>254</v>
      </c>
      <c r="B121">
        <v>0.60870000000000002</v>
      </c>
      <c r="C121">
        <v>2.1</v>
      </c>
      <c r="D121">
        <v>72.95</v>
      </c>
      <c r="H121" t="str">
        <f t="shared" si="2"/>
        <v/>
      </c>
      <c r="I121" t="str">
        <f t="shared" si="3"/>
        <v/>
      </c>
    </row>
    <row r="122" spans="1:9" x14ac:dyDescent="0.3">
      <c r="A122" t="s">
        <v>18</v>
      </c>
      <c r="B122">
        <v>0.57489999999999997</v>
      </c>
      <c r="C122">
        <v>3.7</v>
      </c>
      <c r="D122">
        <v>76.41</v>
      </c>
      <c r="H122" t="str">
        <f t="shared" si="2"/>
        <v/>
      </c>
      <c r="I122" t="str">
        <f t="shared" si="3"/>
        <v/>
      </c>
    </row>
    <row r="123" spans="1:9" x14ac:dyDescent="0.3">
      <c r="A123" t="s">
        <v>133</v>
      </c>
      <c r="B123">
        <v>0.56010000000000004</v>
      </c>
      <c r="C123">
        <v>3.1</v>
      </c>
      <c r="D123">
        <v>74.31</v>
      </c>
      <c r="F123">
        <v>2</v>
      </c>
      <c r="H123" t="str">
        <f t="shared" si="2"/>
        <v/>
      </c>
      <c r="I123">
        <f t="shared" si="3"/>
        <v>2</v>
      </c>
    </row>
    <row r="124" spans="1:9" x14ac:dyDescent="0.3">
      <c r="A124" t="s">
        <v>184</v>
      </c>
      <c r="B124">
        <v>0.58499999999999996</v>
      </c>
      <c r="C124">
        <v>3.2</v>
      </c>
      <c r="D124">
        <v>73.540000000000006</v>
      </c>
      <c r="H124" t="str">
        <f t="shared" si="2"/>
        <v/>
      </c>
      <c r="I124" t="str">
        <f t="shared" si="3"/>
        <v/>
      </c>
    </row>
    <row r="125" spans="1:9" x14ac:dyDescent="0.3">
      <c r="A125" t="s">
        <v>259</v>
      </c>
      <c r="B125">
        <v>0.65400000000000003</v>
      </c>
      <c r="C125">
        <v>4.4000000000000004</v>
      </c>
      <c r="D125">
        <v>76.56</v>
      </c>
      <c r="G125">
        <v>14</v>
      </c>
      <c r="H125" t="str">
        <f t="shared" si="2"/>
        <v/>
      </c>
      <c r="I125" t="str">
        <f t="shared" si="3"/>
        <v/>
      </c>
    </row>
    <row r="126" spans="1:9" x14ac:dyDescent="0.3">
      <c r="A126" t="s">
        <v>165</v>
      </c>
      <c r="B126">
        <v>0.57399999999999995</v>
      </c>
      <c r="C126">
        <v>2.9</v>
      </c>
      <c r="D126">
        <v>73.97</v>
      </c>
      <c r="H126" t="str">
        <f t="shared" si="2"/>
        <v/>
      </c>
      <c r="I126" t="str">
        <f t="shared" si="3"/>
        <v/>
      </c>
    </row>
    <row r="127" spans="1:9" x14ac:dyDescent="0.3">
      <c r="A127" t="s">
        <v>191</v>
      </c>
      <c r="B127">
        <v>0.54210000000000003</v>
      </c>
      <c r="C127">
        <v>1.4</v>
      </c>
      <c r="D127">
        <v>72.94</v>
      </c>
      <c r="H127" t="str">
        <f t="shared" si="2"/>
        <v/>
      </c>
      <c r="I127" t="str">
        <f t="shared" si="3"/>
        <v/>
      </c>
    </row>
    <row r="128" spans="1:9" x14ac:dyDescent="0.3">
      <c r="A128" t="s">
        <v>257</v>
      </c>
      <c r="B128">
        <v>0.57350000000000001</v>
      </c>
      <c r="C128">
        <v>2.2999999999999998</v>
      </c>
      <c r="D128">
        <v>73.569999999999993</v>
      </c>
      <c r="H128" t="str">
        <f t="shared" si="2"/>
        <v/>
      </c>
      <c r="I128" t="str">
        <f t="shared" si="3"/>
        <v/>
      </c>
    </row>
    <row r="129" spans="1:9" x14ac:dyDescent="0.3">
      <c r="A129" t="s">
        <v>91</v>
      </c>
      <c r="B129">
        <v>0.57120000000000004</v>
      </c>
      <c r="C129">
        <v>3.1</v>
      </c>
      <c r="D129">
        <v>75.92</v>
      </c>
      <c r="H129" t="str">
        <f t="shared" si="2"/>
        <v/>
      </c>
      <c r="I129" t="str">
        <f t="shared" si="3"/>
        <v/>
      </c>
    </row>
    <row r="130" spans="1:9" x14ac:dyDescent="0.3">
      <c r="A130" t="s">
        <v>244</v>
      </c>
      <c r="B130">
        <v>0.53900000000000003</v>
      </c>
      <c r="C130">
        <v>2.6</v>
      </c>
      <c r="D130">
        <v>74.28</v>
      </c>
      <c r="H130" t="str">
        <f t="shared" si="2"/>
        <v/>
      </c>
      <c r="I130" t="str">
        <f t="shared" si="3"/>
        <v/>
      </c>
    </row>
    <row r="131" spans="1:9" x14ac:dyDescent="0.3">
      <c r="A131" t="s">
        <v>270</v>
      </c>
      <c r="B131">
        <v>0.52690000000000003</v>
      </c>
      <c r="C131">
        <v>1</v>
      </c>
      <c r="D131">
        <v>72.06</v>
      </c>
      <c r="H131" t="str">
        <f t="shared" ref="H131:H194" si="4">IF(E131&lt;&gt;"",E131,"")</f>
        <v/>
      </c>
      <c r="I131" t="str">
        <f t="shared" ref="I131:I194" si="5">IF(F131&lt;&gt;"",F131,"")</f>
        <v/>
      </c>
    </row>
    <row r="132" spans="1:9" x14ac:dyDescent="0.3">
      <c r="A132" t="s">
        <v>181</v>
      </c>
      <c r="B132">
        <v>0.54110000000000003</v>
      </c>
      <c r="C132">
        <v>2.2000000000000002</v>
      </c>
      <c r="D132">
        <v>73.8</v>
      </c>
      <c r="H132" t="str">
        <f t="shared" si="4"/>
        <v/>
      </c>
      <c r="I132" t="str">
        <f t="shared" si="5"/>
        <v/>
      </c>
    </row>
    <row r="133" spans="1:9" x14ac:dyDescent="0.3">
      <c r="A133" t="s">
        <v>101</v>
      </c>
      <c r="B133">
        <v>0.55389999999999995</v>
      </c>
      <c r="C133">
        <v>2.5</v>
      </c>
      <c r="D133">
        <v>74.77</v>
      </c>
      <c r="H133" t="str">
        <f t="shared" si="4"/>
        <v/>
      </c>
      <c r="I133" t="str">
        <f t="shared" si="5"/>
        <v/>
      </c>
    </row>
    <row r="134" spans="1:9" x14ac:dyDescent="0.3">
      <c r="A134" t="s">
        <v>126</v>
      </c>
      <c r="B134">
        <v>0.57050000000000001</v>
      </c>
      <c r="C134">
        <v>2.7</v>
      </c>
      <c r="D134">
        <v>72.959999999999994</v>
      </c>
      <c r="H134" t="str">
        <f t="shared" si="4"/>
        <v/>
      </c>
      <c r="I134" t="str">
        <f t="shared" si="5"/>
        <v/>
      </c>
    </row>
    <row r="135" spans="1:9" x14ac:dyDescent="0.3">
      <c r="A135" t="s">
        <v>274</v>
      </c>
      <c r="B135">
        <v>0.55979999999999996</v>
      </c>
      <c r="C135">
        <v>2.6</v>
      </c>
      <c r="D135">
        <v>73.260000000000005</v>
      </c>
      <c r="G135">
        <v>15</v>
      </c>
      <c r="H135" t="str">
        <f t="shared" si="4"/>
        <v/>
      </c>
      <c r="I135" t="str">
        <f t="shared" si="5"/>
        <v/>
      </c>
    </row>
    <row r="136" spans="1:9" x14ac:dyDescent="0.3">
      <c r="A136" t="s">
        <v>174</v>
      </c>
      <c r="B136">
        <v>0.54579999999999995</v>
      </c>
      <c r="C136">
        <v>1.4</v>
      </c>
      <c r="D136">
        <v>72.069999999999993</v>
      </c>
      <c r="H136" t="str">
        <f t="shared" si="4"/>
        <v/>
      </c>
      <c r="I136" t="str">
        <f t="shared" si="5"/>
        <v/>
      </c>
    </row>
    <row r="137" spans="1:9" x14ac:dyDescent="0.3">
      <c r="A137" t="s">
        <v>167</v>
      </c>
      <c r="B137">
        <v>0.59819999999999995</v>
      </c>
      <c r="C137">
        <v>3.8</v>
      </c>
      <c r="D137">
        <v>73.14</v>
      </c>
      <c r="G137">
        <v>15</v>
      </c>
      <c r="H137" t="str">
        <f t="shared" si="4"/>
        <v/>
      </c>
      <c r="I137" t="str">
        <f t="shared" si="5"/>
        <v/>
      </c>
    </row>
    <row r="138" spans="1:9" x14ac:dyDescent="0.3">
      <c r="A138" t="s">
        <v>81</v>
      </c>
      <c r="B138">
        <v>0.63939999999999997</v>
      </c>
      <c r="C138">
        <v>3.8</v>
      </c>
      <c r="D138">
        <v>76.510000000000005</v>
      </c>
      <c r="E138">
        <v>3</v>
      </c>
      <c r="F138">
        <v>1</v>
      </c>
      <c r="H138">
        <f t="shared" si="4"/>
        <v>3</v>
      </c>
      <c r="I138">
        <f t="shared" si="5"/>
        <v>1</v>
      </c>
    </row>
    <row r="139" spans="1:9" x14ac:dyDescent="0.3">
      <c r="A139" t="s">
        <v>280</v>
      </c>
      <c r="B139">
        <v>0.53100000000000003</v>
      </c>
      <c r="C139">
        <v>1.6</v>
      </c>
      <c r="D139">
        <v>72.55</v>
      </c>
      <c r="H139" t="str">
        <f t="shared" si="4"/>
        <v/>
      </c>
      <c r="I139" t="str">
        <f t="shared" si="5"/>
        <v/>
      </c>
    </row>
    <row r="140" spans="1:9" x14ac:dyDescent="0.3">
      <c r="A140" t="s">
        <v>105</v>
      </c>
      <c r="B140">
        <v>0.57640000000000002</v>
      </c>
      <c r="C140">
        <v>2.2999999999999998</v>
      </c>
      <c r="D140">
        <v>73.66</v>
      </c>
      <c r="H140" t="str">
        <f t="shared" si="4"/>
        <v/>
      </c>
      <c r="I140" t="str">
        <f t="shared" si="5"/>
        <v/>
      </c>
    </row>
    <row r="141" spans="1:9" x14ac:dyDescent="0.3">
      <c r="A141" t="s">
        <v>71</v>
      </c>
      <c r="B141">
        <v>0.57530000000000003</v>
      </c>
      <c r="C141">
        <v>2.9</v>
      </c>
      <c r="D141">
        <v>73.489999999999995</v>
      </c>
      <c r="G141">
        <v>14</v>
      </c>
      <c r="H141" t="str">
        <f t="shared" si="4"/>
        <v/>
      </c>
      <c r="I141" t="str">
        <f t="shared" si="5"/>
        <v/>
      </c>
    </row>
    <row r="142" spans="1:9" x14ac:dyDescent="0.3">
      <c r="A142" t="s">
        <v>69</v>
      </c>
      <c r="B142">
        <v>0.53779999999999994</v>
      </c>
      <c r="C142">
        <v>2</v>
      </c>
      <c r="D142">
        <v>74.459999999999994</v>
      </c>
      <c r="H142" t="str">
        <f t="shared" si="4"/>
        <v/>
      </c>
      <c r="I142" t="str">
        <f t="shared" si="5"/>
        <v/>
      </c>
    </row>
    <row r="143" spans="1:9" x14ac:dyDescent="0.3">
      <c r="A143" t="s">
        <v>80</v>
      </c>
      <c r="B143">
        <v>0.60060000000000002</v>
      </c>
      <c r="C143">
        <v>2.9</v>
      </c>
      <c r="D143">
        <v>73.92</v>
      </c>
      <c r="H143" t="str">
        <f t="shared" si="4"/>
        <v/>
      </c>
      <c r="I143" t="str">
        <f t="shared" si="5"/>
        <v/>
      </c>
    </row>
    <row r="144" spans="1:9" x14ac:dyDescent="0.3">
      <c r="A144" t="s">
        <v>75</v>
      </c>
      <c r="B144">
        <v>0.57279999999999998</v>
      </c>
      <c r="C144">
        <v>2.9</v>
      </c>
      <c r="D144">
        <v>75.459999999999994</v>
      </c>
      <c r="H144" t="str">
        <f t="shared" si="4"/>
        <v/>
      </c>
      <c r="I144" t="str">
        <f t="shared" si="5"/>
        <v/>
      </c>
    </row>
    <row r="145" spans="1:9" x14ac:dyDescent="0.3">
      <c r="A145" t="s">
        <v>109</v>
      </c>
      <c r="B145">
        <v>0.51049999999999995</v>
      </c>
      <c r="C145">
        <v>2.6</v>
      </c>
      <c r="D145">
        <v>72.13</v>
      </c>
      <c r="H145" t="str">
        <f t="shared" si="4"/>
        <v/>
      </c>
      <c r="I145" t="str">
        <f t="shared" si="5"/>
        <v/>
      </c>
    </row>
    <row r="146" spans="1:9" x14ac:dyDescent="0.3">
      <c r="A146" t="s">
        <v>86</v>
      </c>
      <c r="B146">
        <v>0.50819999999999999</v>
      </c>
      <c r="C146">
        <v>1.1000000000000001</v>
      </c>
      <c r="D146">
        <v>71.88</v>
      </c>
      <c r="E146">
        <v>1</v>
      </c>
      <c r="H146">
        <f t="shared" si="4"/>
        <v>1</v>
      </c>
      <c r="I146" t="str">
        <f t="shared" si="5"/>
        <v/>
      </c>
    </row>
    <row r="147" spans="1:9" x14ac:dyDescent="0.3">
      <c r="A147" t="s">
        <v>339</v>
      </c>
      <c r="B147">
        <v>0.54500000000000004</v>
      </c>
      <c r="C147">
        <v>2.2999999999999998</v>
      </c>
      <c r="D147">
        <v>74.23</v>
      </c>
      <c r="H147" t="str">
        <f t="shared" si="4"/>
        <v/>
      </c>
      <c r="I147" t="str">
        <f t="shared" si="5"/>
        <v/>
      </c>
    </row>
    <row r="148" spans="1:9" x14ac:dyDescent="0.3">
      <c r="A148" t="s">
        <v>122</v>
      </c>
      <c r="B148">
        <v>0.52629999999999999</v>
      </c>
      <c r="C148">
        <v>1.5</v>
      </c>
      <c r="D148">
        <v>71.2</v>
      </c>
      <c r="H148" t="str">
        <f t="shared" si="4"/>
        <v/>
      </c>
      <c r="I148" t="str">
        <f t="shared" si="5"/>
        <v/>
      </c>
    </row>
    <row r="149" spans="1:9" x14ac:dyDescent="0.3">
      <c r="A149" t="s">
        <v>127</v>
      </c>
      <c r="B149">
        <v>0.53710000000000002</v>
      </c>
      <c r="C149">
        <v>1.1000000000000001</v>
      </c>
      <c r="D149">
        <v>72.489999999999995</v>
      </c>
      <c r="H149" t="str">
        <f t="shared" si="4"/>
        <v/>
      </c>
      <c r="I149" t="str">
        <f t="shared" si="5"/>
        <v/>
      </c>
    </row>
    <row r="150" spans="1:9" x14ac:dyDescent="0.3">
      <c r="A150" t="s">
        <v>102</v>
      </c>
      <c r="B150">
        <v>0.53710000000000002</v>
      </c>
      <c r="C150">
        <v>0.4</v>
      </c>
      <c r="D150">
        <v>71.989999999999995</v>
      </c>
      <c r="H150" t="str">
        <f t="shared" si="4"/>
        <v/>
      </c>
      <c r="I150" t="str">
        <f t="shared" si="5"/>
        <v/>
      </c>
    </row>
    <row r="151" spans="1:9" x14ac:dyDescent="0.3">
      <c r="A151" t="s">
        <v>262</v>
      </c>
      <c r="B151">
        <v>0.54979999999999996</v>
      </c>
      <c r="C151">
        <v>1.4</v>
      </c>
      <c r="D151">
        <v>72.81</v>
      </c>
      <c r="H151" t="str">
        <f t="shared" si="4"/>
        <v/>
      </c>
      <c r="I151" t="str">
        <f t="shared" si="5"/>
        <v/>
      </c>
    </row>
    <row r="152" spans="1:9" x14ac:dyDescent="0.3">
      <c r="A152" t="s">
        <v>132</v>
      </c>
      <c r="B152">
        <v>0.65339999999999998</v>
      </c>
      <c r="C152">
        <v>2.2999999999999998</v>
      </c>
      <c r="D152">
        <v>75.489999999999995</v>
      </c>
      <c r="G152">
        <v>15</v>
      </c>
      <c r="H152" t="str">
        <f t="shared" si="4"/>
        <v/>
      </c>
      <c r="I152" t="str">
        <f t="shared" si="5"/>
        <v/>
      </c>
    </row>
    <row r="153" spans="1:9" x14ac:dyDescent="0.3">
      <c r="A153" t="s">
        <v>251</v>
      </c>
      <c r="B153">
        <v>0.54359999999999997</v>
      </c>
      <c r="C153">
        <v>0.8</v>
      </c>
      <c r="D153">
        <v>72.45</v>
      </c>
      <c r="H153" t="str">
        <f t="shared" si="4"/>
        <v/>
      </c>
      <c r="I153" t="str">
        <f t="shared" si="5"/>
        <v/>
      </c>
    </row>
    <row r="154" spans="1:9" x14ac:dyDescent="0.3">
      <c r="A154" t="s">
        <v>198</v>
      </c>
      <c r="B154">
        <v>0.50560000000000005</v>
      </c>
      <c r="C154">
        <v>0.7</v>
      </c>
      <c r="D154">
        <v>71.08</v>
      </c>
      <c r="H154" t="str">
        <f t="shared" si="4"/>
        <v/>
      </c>
      <c r="I154" t="str">
        <f t="shared" si="5"/>
        <v/>
      </c>
    </row>
    <row r="155" spans="1:9" x14ac:dyDescent="0.3">
      <c r="A155" t="s">
        <v>314</v>
      </c>
      <c r="B155">
        <v>0.52500000000000002</v>
      </c>
      <c r="C155">
        <v>1.4</v>
      </c>
      <c r="D155">
        <v>72.88</v>
      </c>
      <c r="H155" t="str">
        <f t="shared" si="4"/>
        <v/>
      </c>
      <c r="I155" t="str">
        <f t="shared" si="5"/>
        <v/>
      </c>
    </row>
    <row r="156" spans="1:9" x14ac:dyDescent="0.3">
      <c r="A156" t="s">
        <v>340</v>
      </c>
      <c r="B156">
        <v>0.50180000000000002</v>
      </c>
      <c r="C156">
        <v>0.7</v>
      </c>
      <c r="D156">
        <v>70.430000000000007</v>
      </c>
      <c r="H156" t="str">
        <f t="shared" si="4"/>
        <v/>
      </c>
      <c r="I156" t="str">
        <f t="shared" si="5"/>
        <v/>
      </c>
    </row>
    <row r="157" spans="1:9" x14ac:dyDescent="0.3">
      <c r="A157" t="s">
        <v>341</v>
      </c>
      <c r="B157">
        <v>0.53769999999999996</v>
      </c>
      <c r="C157">
        <v>1.4</v>
      </c>
      <c r="D157">
        <v>71.39</v>
      </c>
      <c r="H157" t="str">
        <f t="shared" si="4"/>
        <v/>
      </c>
      <c r="I157" t="str">
        <f t="shared" si="5"/>
        <v/>
      </c>
    </row>
    <row r="158" spans="1:9" x14ac:dyDescent="0.3">
      <c r="A158" t="s">
        <v>27</v>
      </c>
      <c r="B158">
        <v>0.49</v>
      </c>
      <c r="C158">
        <v>1</v>
      </c>
      <c r="D158">
        <v>70.84</v>
      </c>
      <c r="H158" t="str">
        <f t="shared" si="4"/>
        <v/>
      </c>
      <c r="I158" t="str">
        <f t="shared" si="5"/>
        <v/>
      </c>
    </row>
    <row r="159" spans="1:9" x14ac:dyDescent="0.3">
      <c r="A159" t="s">
        <v>152</v>
      </c>
      <c r="B159">
        <v>0.47499999999999998</v>
      </c>
      <c r="C159">
        <v>1.5</v>
      </c>
      <c r="D159">
        <v>72.78</v>
      </c>
      <c r="H159" t="str">
        <f t="shared" si="4"/>
        <v/>
      </c>
      <c r="I159" t="str">
        <f t="shared" si="5"/>
        <v/>
      </c>
    </row>
    <row r="160" spans="1:9" x14ac:dyDescent="0.3">
      <c r="A160" t="s">
        <v>342</v>
      </c>
      <c r="B160">
        <v>0.52649999999999997</v>
      </c>
      <c r="C160">
        <v>2.1</v>
      </c>
      <c r="D160">
        <v>72.319999999999993</v>
      </c>
      <c r="H160" t="str">
        <f t="shared" si="4"/>
        <v/>
      </c>
      <c r="I160" t="str">
        <f t="shared" si="5"/>
        <v/>
      </c>
    </row>
    <row r="161" spans="1:9" x14ac:dyDescent="0.3">
      <c r="A161" t="s">
        <v>116</v>
      </c>
      <c r="B161">
        <v>0.42080000000000001</v>
      </c>
      <c r="C161">
        <v>0.6</v>
      </c>
      <c r="D161">
        <v>70.97</v>
      </c>
      <c r="H161" t="str">
        <f t="shared" si="4"/>
        <v/>
      </c>
      <c r="I161" t="str">
        <f t="shared" si="5"/>
        <v/>
      </c>
    </row>
    <row r="162" spans="1:9" x14ac:dyDescent="0.3">
      <c r="A162" t="s">
        <v>343</v>
      </c>
      <c r="B162">
        <v>0.48680000000000001</v>
      </c>
      <c r="C162">
        <v>1.7</v>
      </c>
      <c r="D162">
        <v>71.67</v>
      </c>
      <c r="H162" t="str">
        <f t="shared" si="4"/>
        <v/>
      </c>
      <c r="I162" t="str">
        <f t="shared" si="5"/>
        <v/>
      </c>
    </row>
    <row r="163" spans="1:9" x14ac:dyDescent="0.3">
      <c r="A163" t="s">
        <v>199</v>
      </c>
      <c r="B163">
        <v>0.49349999999999999</v>
      </c>
      <c r="C163">
        <v>-1.4</v>
      </c>
      <c r="D163">
        <v>69.650000000000006</v>
      </c>
      <c r="H163" t="str">
        <f t="shared" si="4"/>
        <v/>
      </c>
      <c r="I163" t="str">
        <f t="shared" si="5"/>
        <v/>
      </c>
    </row>
    <row r="164" spans="1:9" x14ac:dyDescent="0.3">
      <c r="A164" t="s">
        <v>249</v>
      </c>
      <c r="B164">
        <v>0.55179999999999996</v>
      </c>
      <c r="C164">
        <v>1.9</v>
      </c>
      <c r="D164">
        <v>74.33</v>
      </c>
      <c r="H164" t="str">
        <f t="shared" si="4"/>
        <v/>
      </c>
      <c r="I164" t="str">
        <f t="shared" si="5"/>
        <v/>
      </c>
    </row>
    <row r="165" spans="1:9" x14ac:dyDescent="0.3">
      <c r="A165" t="s">
        <v>137</v>
      </c>
      <c r="B165">
        <v>0.4783</v>
      </c>
      <c r="C165">
        <v>-0.6</v>
      </c>
      <c r="D165">
        <v>71.959999999999994</v>
      </c>
      <c r="H165" t="str">
        <f t="shared" si="4"/>
        <v/>
      </c>
      <c r="I165" t="str">
        <f t="shared" si="5"/>
        <v/>
      </c>
    </row>
    <row r="166" spans="1:9" x14ac:dyDescent="0.3">
      <c r="A166" t="s">
        <v>141</v>
      </c>
      <c r="B166">
        <v>0.47489999999999999</v>
      </c>
      <c r="C166">
        <v>0.3</v>
      </c>
      <c r="D166">
        <v>70.180000000000007</v>
      </c>
      <c r="H166" t="str">
        <f t="shared" si="4"/>
        <v/>
      </c>
      <c r="I166" t="str">
        <f t="shared" si="5"/>
        <v/>
      </c>
    </row>
    <row r="167" spans="1:9" x14ac:dyDescent="0.3">
      <c r="A167" t="s">
        <v>145</v>
      </c>
      <c r="B167">
        <v>0.47470000000000001</v>
      </c>
      <c r="C167">
        <v>-1.5</v>
      </c>
      <c r="D167">
        <v>69.69</v>
      </c>
      <c r="H167" t="str">
        <f t="shared" si="4"/>
        <v/>
      </c>
      <c r="I167" t="str">
        <f t="shared" si="5"/>
        <v/>
      </c>
    </row>
    <row r="168" spans="1:9" x14ac:dyDescent="0.3">
      <c r="A168" t="s">
        <v>73</v>
      </c>
      <c r="B168">
        <v>0.35799999999999998</v>
      </c>
      <c r="C168">
        <v>0.2</v>
      </c>
      <c r="D168">
        <v>71.489999999999995</v>
      </c>
      <c r="H168" t="str">
        <f t="shared" si="4"/>
        <v/>
      </c>
      <c r="I168" t="str">
        <f t="shared" si="5"/>
        <v/>
      </c>
    </row>
    <row r="169" spans="1:9" x14ac:dyDescent="0.3">
      <c r="A169" t="s">
        <v>294</v>
      </c>
      <c r="B169">
        <v>0.48870000000000002</v>
      </c>
      <c r="C169">
        <v>-0.1</v>
      </c>
      <c r="D169">
        <v>70.790000000000006</v>
      </c>
      <c r="H169" t="str">
        <f t="shared" si="4"/>
        <v/>
      </c>
      <c r="I169" t="str">
        <f t="shared" si="5"/>
        <v/>
      </c>
    </row>
    <row r="170" spans="1:9" x14ac:dyDescent="0.3">
      <c r="A170" t="s">
        <v>103</v>
      </c>
      <c r="B170">
        <v>0.45910000000000001</v>
      </c>
      <c r="C170">
        <v>-0.2</v>
      </c>
      <c r="D170">
        <v>71.599999999999994</v>
      </c>
      <c r="H170" t="str">
        <f t="shared" si="4"/>
        <v/>
      </c>
      <c r="I170" t="str">
        <f t="shared" si="5"/>
        <v/>
      </c>
    </row>
    <row r="171" spans="1:9" x14ac:dyDescent="0.3">
      <c r="A171" t="s">
        <v>156</v>
      </c>
      <c r="B171">
        <v>0.4698</v>
      </c>
      <c r="C171">
        <v>-1.4</v>
      </c>
      <c r="D171">
        <v>69.489999999999995</v>
      </c>
      <c r="H171" t="str">
        <f t="shared" si="4"/>
        <v/>
      </c>
      <c r="I171" t="str">
        <f t="shared" si="5"/>
        <v/>
      </c>
    </row>
    <row r="172" spans="1:9" x14ac:dyDescent="0.3">
      <c r="A172" t="s">
        <v>239</v>
      </c>
      <c r="B172">
        <v>0.49590000000000001</v>
      </c>
      <c r="C172">
        <v>0.2</v>
      </c>
      <c r="D172">
        <v>71.31</v>
      </c>
      <c r="H172" t="str">
        <f t="shared" si="4"/>
        <v/>
      </c>
      <c r="I172" t="str">
        <f t="shared" si="5"/>
        <v/>
      </c>
    </row>
    <row r="173" spans="1:9" x14ac:dyDescent="0.3">
      <c r="A173" t="s">
        <v>157</v>
      </c>
      <c r="B173">
        <v>0.4738</v>
      </c>
      <c r="C173">
        <v>-0.3</v>
      </c>
      <c r="D173">
        <v>70.5</v>
      </c>
      <c r="H173" t="str">
        <f t="shared" si="4"/>
        <v/>
      </c>
      <c r="I173" t="str">
        <f t="shared" si="5"/>
        <v/>
      </c>
    </row>
    <row r="174" spans="1:9" x14ac:dyDescent="0.3">
      <c r="A174" t="s">
        <v>236</v>
      </c>
      <c r="B174">
        <v>0.51170000000000004</v>
      </c>
      <c r="C174">
        <v>1.9</v>
      </c>
      <c r="D174">
        <v>73.5</v>
      </c>
      <c r="H174" t="str">
        <f t="shared" si="4"/>
        <v/>
      </c>
      <c r="I174" t="str">
        <f t="shared" si="5"/>
        <v/>
      </c>
    </row>
    <row r="175" spans="1:9" x14ac:dyDescent="0.3">
      <c r="A175" t="s">
        <v>220</v>
      </c>
      <c r="B175">
        <v>0.48259999999999997</v>
      </c>
      <c r="C175">
        <v>0.2</v>
      </c>
      <c r="D175">
        <v>69.94</v>
      </c>
      <c r="H175" t="str">
        <f t="shared" si="4"/>
        <v/>
      </c>
      <c r="I175" t="str">
        <f t="shared" si="5"/>
        <v/>
      </c>
    </row>
    <row r="176" spans="1:9" x14ac:dyDescent="0.3">
      <c r="A176" t="s">
        <v>155</v>
      </c>
      <c r="B176">
        <v>0.46339999999999998</v>
      </c>
      <c r="C176">
        <v>1.5</v>
      </c>
      <c r="D176">
        <v>73.16</v>
      </c>
      <c r="H176" t="str">
        <f t="shared" si="4"/>
        <v/>
      </c>
      <c r="I176" t="str">
        <f t="shared" si="5"/>
        <v/>
      </c>
    </row>
    <row r="177" spans="1:9" x14ac:dyDescent="0.3">
      <c r="A177" t="s">
        <v>153</v>
      </c>
      <c r="B177">
        <v>0.46060000000000001</v>
      </c>
      <c r="C177">
        <v>1.9</v>
      </c>
      <c r="D177">
        <v>72.5</v>
      </c>
      <c r="H177" t="str">
        <f t="shared" si="4"/>
        <v/>
      </c>
      <c r="I177" t="str">
        <f t="shared" si="5"/>
        <v/>
      </c>
    </row>
    <row r="178" spans="1:9" x14ac:dyDescent="0.3">
      <c r="A178" t="s">
        <v>250</v>
      </c>
      <c r="B178">
        <v>0.4617</v>
      </c>
      <c r="C178">
        <v>0.1</v>
      </c>
      <c r="D178">
        <v>71.67</v>
      </c>
      <c r="H178" t="str">
        <f t="shared" si="4"/>
        <v/>
      </c>
      <c r="I178" t="str">
        <f t="shared" si="5"/>
        <v/>
      </c>
    </row>
    <row r="179" spans="1:9" x14ac:dyDescent="0.3">
      <c r="A179" t="s">
        <v>41</v>
      </c>
      <c r="B179">
        <v>0.42080000000000001</v>
      </c>
      <c r="C179">
        <v>0.4</v>
      </c>
      <c r="D179">
        <v>69.8</v>
      </c>
      <c r="H179" t="str">
        <f t="shared" si="4"/>
        <v/>
      </c>
      <c r="I179" t="str">
        <f t="shared" si="5"/>
        <v/>
      </c>
    </row>
    <row r="180" spans="1:9" x14ac:dyDescent="0.3">
      <c r="A180" t="s">
        <v>246</v>
      </c>
      <c r="B180">
        <v>0.45550000000000002</v>
      </c>
      <c r="C180">
        <v>0.9</v>
      </c>
      <c r="D180">
        <v>70.98</v>
      </c>
      <c r="H180" t="str">
        <f t="shared" si="4"/>
        <v/>
      </c>
      <c r="I180" t="str">
        <f t="shared" si="5"/>
        <v/>
      </c>
    </row>
    <row r="181" spans="1:9" x14ac:dyDescent="0.3">
      <c r="A181" t="s">
        <v>37</v>
      </c>
      <c r="B181">
        <v>0.46179999999999999</v>
      </c>
      <c r="C181">
        <v>0</v>
      </c>
      <c r="D181">
        <v>71.790000000000006</v>
      </c>
      <c r="H181" t="str">
        <f t="shared" si="4"/>
        <v/>
      </c>
      <c r="I181" t="str">
        <f t="shared" si="5"/>
        <v/>
      </c>
    </row>
    <row r="182" spans="1:9" x14ac:dyDescent="0.3">
      <c r="A182" t="s">
        <v>344</v>
      </c>
      <c r="B182">
        <v>0.49180000000000001</v>
      </c>
      <c r="C182">
        <v>-0.3</v>
      </c>
      <c r="D182">
        <v>71.040000000000006</v>
      </c>
      <c r="H182" t="str">
        <f t="shared" si="4"/>
        <v/>
      </c>
      <c r="I182" t="str">
        <f t="shared" si="5"/>
        <v/>
      </c>
    </row>
    <row r="183" spans="1:9" x14ac:dyDescent="0.3">
      <c r="A183" t="s">
        <v>345</v>
      </c>
      <c r="B183">
        <v>0.41060000000000002</v>
      </c>
      <c r="C183">
        <v>-0.2</v>
      </c>
      <c r="D183">
        <v>69.739999999999995</v>
      </c>
      <c r="H183" t="str">
        <f t="shared" si="4"/>
        <v/>
      </c>
      <c r="I183" t="str">
        <f t="shared" si="5"/>
        <v/>
      </c>
    </row>
    <row r="184" spans="1:9" x14ac:dyDescent="0.3">
      <c r="A184" t="s">
        <v>47</v>
      </c>
      <c r="B184">
        <v>0.43540000000000001</v>
      </c>
      <c r="C184">
        <v>-1.7</v>
      </c>
      <c r="D184">
        <v>69.34</v>
      </c>
      <c r="H184" t="str">
        <f t="shared" si="4"/>
        <v/>
      </c>
      <c r="I184" t="str">
        <f t="shared" si="5"/>
        <v/>
      </c>
    </row>
    <row r="185" spans="1:9" x14ac:dyDescent="0.3">
      <c r="A185" t="s">
        <v>303</v>
      </c>
      <c r="B185">
        <v>0.45639999999999997</v>
      </c>
      <c r="C185">
        <v>-0.6</v>
      </c>
      <c r="D185">
        <v>70.7</v>
      </c>
      <c r="H185" t="str">
        <f t="shared" si="4"/>
        <v/>
      </c>
      <c r="I185" t="str">
        <f t="shared" si="5"/>
        <v/>
      </c>
    </row>
    <row r="186" spans="1:9" x14ac:dyDescent="0.3">
      <c r="A186" t="s">
        <v>194</v>
      </c>
      <c r="B186">
        <v>0.3947</v>
      </c>
      <c r="C186">
        <v>-1.5</v>
      </c>
      <c r="D186">
        <v>69.11</v>
      </c>
      <c r="H186" t="str">
        <f t="shared" si="4"/>
        <v/>
      </c>
      <c r="I186" t="str">
        <f t="shared" si="5"/>
        <v/>
      </c>
    </row>
    <row r="187" spans="1:9" x14ac:dyDescent="0.3">
      <c r="A187" t="s">
        <v>118</v>
      </c>
      <c r="B187">
        <v>0.38550000000000001</v>
      </c>
      <c r="C187">
        <v>0.2</v>
      </c>
      <c r="D187">
        <v>71.11</v>
      </c>
      <c r="H187" t="str">
        <f t="shared" si="4"/>
        <v/>
      </c>
      <c r="I187" t="str">
        <f t="shared" si="5"/>
        <v/>
      </c>
    </row>
    <row r="188" spans="1:9" x14ac:dyDescent="0.3">
      <c r="A188" t="s">
        <v>252</v>
      </c>
      <c r="B188">
        <v>0.3982</v>
      </c>
      <c r="C188">
        <v>-0.1</v>
      </c>
      <c r="D188">
        <v>70.81</v>
      </c>
      <c r="H188" t="str">
        <f t="shared" si="4"/>
        <v/>
      </c>
      <c r="I188" t="str">
        <f t="shared" si="5"/>
        <v/>
      </c>
    </row>
    <row r="189" spans="1:9" x14ac:dyDescent="0.3">
      <c r="A189" t="s">
        <v>242</v>
      </c>
      <c r="B189">
        <v>0.46739999999999998</v>
      </c>
      <c r="C189">
        <v>-0.6</v>
      </c>
      <c r="D189">
        <v>70.48</v>
      </c>
      <c r="H189" t="str">
        <f t="shared" si="4"/>
        <v/>
      </c>
      <c r="I189" t="str">
        <f t="shared" si="5"/>
        <v/>
      </c>
    </row>
    <row r="190" spans="1:9" x14ac:dyDescent="0.3">
      <c r="A190" t="s">
        <v>346</v>
      </c>
      <c r="B190">
        <v>0.42199999999999999</v>
      </c>
      <c r="C190">
        <v>-1.5</v>
      </c>
      <c r="D190">
        <v>69.19</v>
      </c>
      <c r="H190" t="str">
        <f t="shared" si="4"/>
        <v/>
      </c>
      <c r="I190" t="str">
        <f t="shared" si="5"/>
        <v/>
      </c>
    </row>
    <row r="191" spans="1:9" x14ac:dyDescent="0.3">
      <c r="A191" t="s">
        <v>347</v>
      </c>
      <c r="B191">
        <v>0.45369999999999999</v>
      </c>
      <c r="C191">
        <v>-0.3</v>
      </c>
      <c r="D191">
        <v>70.239999999999995</v>
      </c>
      <c r="H191" t="str">
        <f t="shared" si="4"/>
        <v/>
      </c>
      <c r="I191" t="str">
        <f t="shared" si="5"/>
        <v/>
      </c>
    </row>
    <row r="192" spans="1:9" x14ac:dyDescent="0.3">
      <c r="A192" t="s">
        <v>111</v>
      </c>
      <c r="B192">
        <v>0.39950000000000002</v>
      </c>
      <c r="C192">
        <v>-1.3</v>
      </c>
      <c r="D192">
        <v>71.44</v>
      </c>
      <c r="H192" t="str">
        <f t="shared" si="4"/>
        <v/>
      </c>
      <c r="I192" t="str">
        <f t="shared" si="5"/>
        <v/>
      </c>
    </row>
    <row r="193" spans="1:9" x14ac:dyDescent="0.3">
      <c r="A193" t="s">
        <v>348</v>
      </c>
      <c r="B193">
        <v>0.43259999999999998</v>
      </c>
      <c r="C193">
        <v>-1.4</v>
      </c>
      <c r="D193">
        <v>68</v>
      </c>
      <c r="H193" t="str">
        <f t="shared" si="4"/>
        <v/>
      </c>
      <c r="I193" t="str">
        <f t="shared" si="5"/>
        <v/>
      </c>
    </row>
    <row r="194" spans="1:9" x14ac:dyDescent="0.3">
      <c r="A194" t="s">
        <v>349</v>
      </c>
      <c r="B194">
        <v>0.42220000000000002</v>
      </c>
      <c r="C194">
        <v>-1.7</v>
      </c>
      <c r="D194">
        <v>69.14</v>
      </c>
      <c r="H194" t="str">
        <f t="shared" si="4"/>
        <v/>
      </c>
      <c r="I194" t="str">
        <f t="shared" si="5"/>
        <v/>
      </c>
    </row>
    <row r="195" spans="1:9" x14ac:dyDescent="0.3">
      <c r="A195" t="s">
        <v>138</v>
      </c>
      <c r="B195">
        <v>0.38950000000000001</v>
      </c>
      <c r="C195">
        <v>-1.4</v>
      </c>
      <c r="D195">
        <v>68.36</v>
      </c>
      <c r="H195" t="str">
        <f t="shared" ref="H195:H258" si="6">IF(E195&lt;&gt;"",E195,"")</f>
        <v/>
      </c>
      <c r="I195" t="str">
        <f t="shared" ref="I195:I258" si="7">IF(F195&lt;&gt;"",F195,"")</f>
        <v/>
      </c>
    </row>
    <row r="196" spans="1:9" x14ac:dyDescent="0.3">
      <c r="A196" t="s">
        <v>30</v>
      </c>
      <c r="B196">
        <v>0.4582</v>
      </c>
      <c r="C196">
        <v>-0.5</v>
      </c>
      <c r="D196">
        <v>72.08</v>
      </c>
      <c r="H196" t="str">
        <f t="shared" si="6"/>
        <v/>
      </c>
      <c r="I196" t="str">
        <f t="shared" si="7"/>
        <v/>
      </c>
    </row>
    <row r="197" spans="1:9" x14ac:dyDescent="0.3">
      <c r="A197" t="s">
        <v>190</v>
      </c>
      <c r="B197">
        <v>0.38500000000000001</v>
      </c>
      <c r="C197">
        <v>-3.1</v>
      </c>
      <c r="D197">
        <v>66.7</v>
      </c>
      <c r="H197" t="str">
        <f t="shared" si="6"/>
        <v/>
      </c>
      <c r="I197" t="str">
        <f t="shared" si="7"/>
        <v/>
      </c>
    </row>
    <row r="198" spans="1:9" x14ac:dyDescent="0.3">
      <c r="A198" t="s">
        <v>241</v>
      </c>
      <c r="B198">
        <v>0.38030000000000003</v>
      </c>
      <c r="C198">
        <v>-2.4</v>
      </c>
      <c r="D198">
        <v>67.739999999999995</v>
      </c>
      <c r="H198" t="str">
        <f t="shared" si="6"/>
        <v/>
      </c>
      <c r="I198" t="str">
        <f t="shared" si="7"/>
        <v/>
      </c>
    </row>
    <row r="199" spans="1:9" x14ac:dyDescent="0.3">
      <c r="A199" t="s">
        <v>172</v>
      </c>
      <c r="B199">
        <v>0.40410000000000001</v>
      </c>
      <c r="C199">
        <v>0.3</v>
      </c>
      <c r="D199">
        <v>70.680000000000007</v>
      </c>
      <c r="H199" t="str">
        <f t="shared" si="6"/>
        <v/>
      </c>
      <c r="I199" t="str">
        <f t="shared" si="7"/>
        <v/>
      </c>
    </row>
    <row r="200" spans="1:9" x14ac:dyDescent="0.3">
      <c r="A200" t="s">
        <v>112</v>
      </c>
      <c r="B200">
        <v>0.42270000000000002</v>
      </c>
      <c r="C200">
        <v>-0.8</v>
      </c>
      <c r="D200">
        <v>68.849999999999994</v>
      </c>
      <c r="H200" t="str">
        <f t="shared" si="6"/>
        <v/>
      </c>
      <c r="I200" t="str">
        <f t="shared" si="7"/>
        <v/>
      </c>
    </row>
    <row r="201" spans="1:9" x14ac:dyDescent="0.3">
      <c r="A201" t="s">
        <v>193</v>
      </c>
      <c r="B201">
        <v>0.38869999999999999</v>
      </c>
      <c r="C201">
        <v>-2.7</v>
      </c>
      <c r="D201">
        <v>67.209999999999994</v>
      </c>
      <c r="H201" t="str">
        <f t="shared" si="6"/>
        <v/>
      </c>
      <c r="I201" t="str">
        <f t="shared" si="7"/>
        <v/>
      </c>
    </row>
    <row r="202" spans="1:9" x14ac:dyDescent="0.3">
      <c r="A202" t="s">
        <v>124</v>
      </c>
      <c r="B202">
        <v>0.41470000000000001</v>
      </c>
      <c r="C202">
        <v>-2.8</v>
      </c>
      <c r="D202">
        <v>67.510000000000005</v>
      </c>
      <c r="H202" t="str">
        <f t="shared" si="6"/>
        <v/>
      </c>
      <c r="I202" t="str">
        <f t="shared" si="7"/>
        <v/>
      </c>
    </row>
    <row r="203" spans="1:9" x14ac:dyDescent="0.3">
      <c r="A203" t="s">
        <v>213</v>
      </c>
      <c r="B203">
        <v>0.41539999999999999</v>
      </c>
      <c r="C203">
        <v>-2</v>
      </c>
      <c r="D203">
        <v>69.010000000000005</v>
      </c>
      <c r="H203" t="str">
        <f t="shared" si="6"/>
        <v/>
      </c>
      <c r="I203" t="str">
        <f t="shared" si="7"/>
        <v/>
      </c>
    </row>
    <row r="204" spans="1:9" x14ac:dyDescent="0.3">
      <c r="A204" t="s">
        <v>123</v>
      </c>
      <c r="B204">
        <v>0.37480000000000002</v>
      </c>
      <c r="C204">
        <v>-3.1</v>
      </c>
      <c r="D204">
        <v>68.510000000000005</v>
      </c>
      <c r="H204" t="str">
        <f t="shared" si="6"/>
        <v/>
      </c>
      <c r="I204" t="str">
        <f t="shared" si="7"/>
        <v/>
      </c>
    </row>
    <row r="205" spans="1:9" x14ac:dyDescent="0.3">
      <c r="A205" t="s">
        <v>168</v>
      </c>
      <c r="B205">
        <v>0.4289</v>
      </c>
      <c r="C205">
        <v>-0.4</v>
      </c>
      <c r="D205">
        <v>69.150000000000006</v>
      </c>
      <c r="H205" t="str">
        <f t="shared" si="6"/>
        <v/>
      </c>
      <c r="I205" t="str">
        <f t="shared" si="7"/>
        <v/>
      </c>
    </row>
    <row r="206" spans="1:9" x14ac:dyDescent="0.3">
      <c r="A206" t="s">
        <v>106</v>
      </c>
      <c r="B206">
        <v>0.41060000000000002</v>
      </c>
      <c r="C206">
        <v>-1</v>
      </c>
      <c r="D206">
        <v>69.39</v>
      </c>
      <c r="H206" t="str">
        <f t="shared" si="6"/>
        <v/>
      </c>
      <c r="I206" t="str">
        <f t="shared" si="7"/>
        <v/>
      </c>
    </row>
    <row r="207" spans="1:9" x14ac:dyDescent="0.3">
      <c r="A207" t="s">
        <v>315</v>
      </c>
      <c r="B207">
        <v>0.37130000000000002</v>
      </c>
      <c r="C207">
        <v>-2.2999999999999998</v>
      </c>
      <c r="D207">
        <v>68.31</v>
      </c>
      <c r="H207" t="str">
        <f t="shared" si="6"/>
        <v/>
      </c>
      <c r="I207" t="str">
        <f t="shared" si="7"/>
        <v/>
      </c>
    </row>
    <row r="208" spans="1:9" x14ac:dyDescent="0.3">
      <c r="A208" t="s">
        <v>187</v>
      </c>
      <c r="B208">
        <v>0.40860000000000002</v>
      </c>
      <c r="C208">
        <v>-1.7</v>
      </c>
      <c r="D208">
        <v>68.7</v>
      </c>
      <c r="H208" t="str">
        <f t="shared" si="6"/>
        <v/>
      </c>
      <c r="I208" t="str">
        <f t="shared" si="7"/>
        <v/>
      </c>
    </row>
    <row r="209" spans="1:9" x14ac:dyDescent="0.3">
      <c r="A209" t="s">
        <v>28</v>
      </c>
      <c r="B209">
        <v>0.38150000000000001</v>
      </c>
      <c r="C209">
        <v>-2.1</v>
      </c>
      <c r="D209">
        <v>69.45</v>
      </c>
      <c r="H209" t="str">
        <f t="shared" si="6"/>
        <v/>
      </c>
      <c r="I209" t="str">
        <f t="shared" si="7"/>
        <v/>
      </c>
    </row>
    <row r="210" spans="1:9" x14ac:dyDescent="0.3">
      <c r="A210" t="s">
        <v>147</v>
      </c>
      <c r="B210">
        <v>0.37940000000000002</v>
      </c>
      <c r="C210">
        <v>-0.3</v>
      </c>
      <c r="D210">
        <v>70.33</v>
      </c>
      <c r="H210" t="str">
        <f t="shared" si="6"/>
        <v/>
      </c>
      <c r="I210" t="str">
        <f t="shared" si="7"/>
        <v/>
      </c>
    </row>
    <row r="211" spans="1:9" x14ac:dyDescent="0.3">
      <c r="A211" t="s">
        <v>163</v>
      </c>
      <c r="B211">
        <v>0.3831</v>
      </c>
      <c r="C211">
        <v>-1.6</v>
      </c>
      <c r="D211">
        <v>69.41</v>
      </c>
      <c r="H211" t="str">
        <f t="shared" si="6"/>
        <v/>
      </c>
      <c r="I211" t="str">
        <f t="shared" si="7"/>
        <v/>
      </c>
    </row>
    <row r="212" spans="1:9" x14ac:dyDescent="0.3">
      <c r="A212" t="s">
        <v>350</v>
      </c>
      <c r="B212">
        <v>0.49680000000000002</v>
      </c>
      <c r="C212">
        <v>-0.6</v>
      </c>
      <c r="D212">
        <v>71.22</v>
      </c>
      <c r="G212">
        <v>16</v>
      </c>
      <c r="H212" t="str">
        <f t="shared" si="6"/>
        <v/>
      </c>
      <c r="I212" t="str">
        <f t="shared" si="7"/>
        <v/>
      </c>
    </row>
    <row r="213" spans="1:9" x14ac:dyDescent="0.3">
      <c r="A213" t="s">
        <v>159</v>
      </c>
      <c r="B213">
        <v>0.36480000000000001</v>
      </c>
      <c r="C213">
        <v>-2.7</v>
      </c>
      <c r="D213">
        <v>67.59</v>
      </c>
      <c r="H213" t="str">
        <f t="shared" si="6"/>
        <v/>
      </c>
      <c r="I213" t="str">
        <f t="shared" si="7"/>
        <v/>
      </c>
    </row>
    <row r="214" spans="1:9" x14ac:dyDescent="0.3">
      <c r="A214" t="s">
        <v>266</v>
      </c>
      <c r="B214">
        <v>0.37669999999999998</v>
      </c>
      <c r="C214">
        <v>-2.7</v>
      </c>
      <c r="D214">
        <v>67.819999999999993</v>
      </c>
      <c r="H214" t="str">
        <f t="shared" si="6"/>
        <v/>
      </c>
      <c r="I214" t="str">
        <f t="shared" si="7"/>
        <v/>
      </c>
    </row>
    <row r="215" spans="1:9" x14ac:dyDescent="0.3">
      <c r="A215" t="s">
        <v>161</v>
      </c>
      <c r="B215">
        <v>0.38140000000000002</v>
      </c>
      <c r="C215">
        <v>-1.9</v>
      </c>
      <c r="D215">
        <v>67.739999999999995</v>
      </c>
      <c r="H215" t="str">
        <f t="shared" si="6"/>
        <v/>
      </c>
      <c r="I215" t="str">
        <f t="shared" si="7"/>
        <v/>
      </c>
    </row>
    <row r="216" spans="1:9" x14ac:dyDescent="0.3">
      <c r="A216" t="s">
        <v>104</v>
      </c>
      <c r="B216">
        <v>0.37180000000000002</v>
      </c>
      <c r="C216">
        <v>-2</v>
      </c>
      <c r="D216">
        <v>69.91</v>
      </c>
      <c r="H216" t="str">
        <f t="shared" si="6"/>
        <v/>
      </c>
      <c r="I216" t="str">
        <f t="shared" si="7"/>
        <v/>
      </c>
    </row>
    <row r="217" spans="1:9" x14ac:dyDescent="0.3">
      <c r="A217" t="s">
        <v>131</v>
      </c>
      <c r="B217">
        <v>0.3493</v>
      </c>
      <c r="C217">
        <v>-1.6</v>
      </c>
      <c r="D217">
        <v>67.430000000000007</v>
      </c>
      <c r="H217" t="str">
        <f t="shared" si="6"/>
        <v/>
      </c>
      <c r="I217" t="str">
        <f t="shared" si="7"/>
        <v/>
      </c>
    </row>
    <row r="218" spans="1:9" x14ac:dyDescent="0.3">
      <c r="A218" t="s">
        <v>255</v>
      </c>
      <c r="B218">
        <v>0.40760000000000002</v>
      </c>
      <c r="C218">
        <v>-2</v>
      </c>
      <c r="D218">
        <v>67.7</v>
      </c>
      <c r="H218" t="str">
        <f t="shared" si="6"/>
        <v/>
      </c>
      <c r="I218" t="str">
        <f t="shared" si="7"/>
        <v/>
      </c>
    </row>
    <row r="219" spans="1:9" x14ac:dyDescent="0.3">
      <c r="A219" t="s">
        <v>188</v>
      </c>
      <c r="B219">
        <v>0.35120000000000001</v>
      </c>
      <c r="C219">
        <v>-2.9</v>
      </c>
      <c r="D219">
        <v>67.67</v>
      </c>
      <c r="H219" t="str">
        <f t="shared" si="6"/>
        <v/>
      </c>
      <c r="I219" t="str">
        <f t="shared" si="7"/>
        <v/>
      </c>
    </row>
    <row r="220" spans="1:9" x14ac:dyDescent="0.3">
      <c r="A220" t="s">
        <v>158</v>
      </c>
      <c r="B220">
        <v>0.35570000000000002</v>
      </c>
      <c r="C220">
        <v>-3.5</v>
      </c>
      <c r="D220">
        <v>67.33</v>
      </c>
      <c r="H220" t="str">
        <f t="shared" si="6"/>
        <v/>
      </c>
      <c r="I220" t="str">
        <f t="shared" si="7"/>
        <v/>
      </c>
    </row>
    <row r="221" spans="1:9" x14ac:dyDescent="0.3">
      <c r="A221" t="s">
        <v>92</v>
      </c>
      <c r="B221">
        <v>0.36780000000000002</v>
      </c>
      <c r="C221">
        <v>-2.2999999999999998</v>
      </c>
      <c r="D221">
        <v>66.959999999999994</v>
      </c>
      <c r="H221" t="str">
        <f t="shared" si="6"/>
        <v/>
      </c>
      <c r="I221" t="str">
        <f t="shared" si="7"/>
        <v/>
      </c>
    </row>
    <row r="222" spans="1:9" x14ac:dyDescent="0.3">
      <c r="A222" t="s">
        <v>183</v>
      </c>
      <c r="B222">
        <v>0.30570000000000003</v>
      </c>
      <c r="C222">
        <v>-2.2999999999999998</v>
      </c>
      <c r="D222">
        <v>66.849999999999994</v>
      </c>
      <c r="H222" t="str">
        <f t="shared" si="6"/>
        <v/>
      </c>
      <c r="I222" t="str">
        <f t="shared" si="7"/>
        <v/>
      </c>
    </row>
    <row r="223" spans="1:9" x14ac:dyDescent="0.3">
      <c r="A223" t="s">
        <v>196</v>
      </c>
      <c r="B223">
        <v>0.3579</v>
      </c>
      <c r="C223">
        <v>-3.1</v>
      </c>
      <c r="D223">
        <v>66.930000000000007</v>
      </c>
      <c r="H223" t="str">
        <f t="shared" si="6"/>
        <v/>
      </c>
      <c r="I223" t="str">
        <f t="shared" si="7"/>
        <v/>
      </c>
    </row>
    <row r="224" spans="1:9" x14ac:dyDescent="0.3">
      <c r="A224" t="s">
        <v>146</v>
      </c>
      <c r="B224">
        <v>0.3503</v>
      </c>
      <c r="C224">
        <v>-3.2</v>
      </c>
      <c r="D224">
        <v>67.61</v>
      </c>
      <c r="H224" t="str">
        <f t="shared" si="6"/>
        <v/>
      </c>
      <c r="I224" t="str">
        <f t="shared" si="7"/>
        <v/>
      </c>
    </row>
    <row r="225" spans="1:9" x14ac:dyDescent="0.3">
      <c r="A225" t="s">
        <v>148</v>
      </c>
      <c r="B225">
        <v>0.3659</v>
      </c>
      <c r="C225">
        <v>-1.4</v>
      </c>
      <c r="D225">
        <v>69.64</v>
      </c>
      <c r="H225" t="str">
        <f t="shared" si="6"/>
        <v/>
      </c>
      <c r="I225" t="str">
        <f t="shared" si="7"/>
        <v/>
      </c>
    </row>
    <row r="226" spans="1:9" x14ac:dyDescent="0.3">
      <c r="A226" t="s">
        <v>261</v>
      </c>
      <c r="B226">
        <v>0.35949999999999999</v>
      </c>
      <c r="C226">
        <v>-2.4</v>
      </c>
      <c r="D226">
        <v>66.25</v>
      </c>
      <c r="H226" t="str">
        <f t="shared" si="6"/>
        <v/>
      </c>
      <c r="I226" t="str">
        <f t="shared" si="7"/>
        <v/>
      </c>
    </row>
    <row r="227" spans="1:9" x14ac:dyDescent="0.3">
      <c r="A227" t="s">
        <v>120</v>
      </c>
      <c r="B227">
        <v>0.33279999999999998</v>
      </c>
      <c r="C227">
        <v>-3</v>
      </c>
      <c r="D227">
        <v>67.8</v>
      </c>
      <c r="H227" t="str">
        <f t="shared" si="6"/>
        <v/>
      </c>
      <c r="I227" t="str">
        <f t="shared" si="7"/>
        <v/>
      </c>
    </row>
    <row r="228" spans="1:9" x14ac:dyDescent="0.3">
      <c r="A228" t="s">
        <v>316</v>
      </c>
      <c r="B228">
        <v>0.33789999999999998</v>
      </c>
      <c r="C228">
        <v>-2.1</v>
      </c>
      <c r="D228">
        <v>68.64</v>
      </c>
      <c r="H228" t="str">
        <f t="shared" si="6"/>
        <v/>
      </c>
      <c r="I228" t="str">
        <f t="shared" si="7"/>
        <v/>
      </c>
    </row>
    <row r="229" spans="1:9" x14ac:dyDescent="0.3">
      <c r="A229" t="s">
        <v>351</v>
      </c>
      <c r="B229">
        <v>0.33300000000000002</v>
      </c>
      <c r="C229">
        <v>-2.9</v>
      </c>
      <c r="D229">
        <v>67.41</v>
      </c>
      <c r="H229" t="str">
        <f t="shared" si="6"/>
        <v/>
      </c>
      <c r="I229" t="str">
        <f t="shared" si="7"/>
        <v/>
      </c>
    </row>
    <row r="230" spans="1:9" x14ac:dyDescent="0.3">
      <c r="A230" t="s">
        <v>144</v>
      </c>
      <c r="B230">
        <v>0.34510000000000002</v>
      </c>
      <c r="C230">
        <v>-3.8</v>
      </c>
      <c r="D230">
        <v>65.19</v>
      </c>
      <c r="H230" t="str">
        <f t="shared" si="6"/>
        <v/>
      </c>
      <c r="I230" t="str">
        <f t="shared" si="7"/>
        <v/>
      </c>
    </row>
    <row r="231" spans="1:9" x14ac:dyDescent="0.3">
      <c r="A231" t="s">
        <v>178</v>
      </c>
      <c r="B231">
        <v>0.35260000000000002</v>
      </c>
      <c r="C231">
        <v>-2.2000000000000002</v>
      </c>
      <c r="D231">
        <v>68.58</v>
      </c>
      <c r="H231" t="str">
        <f t="shared" si="6"/>
        <v/>
      </c>
      <c r="I231" t="str">
        <f t="shared" si="7"/>
        <v/>
      </c>
    </row>
    <row r="232" spans="1:9" x14ac:dyDescent="0.3">
      <c r="A232" t="s">
        <v>83</v>
      </c>
      <c r="B232">
        <v>0.37019999999999997</v>
      </c>
      <c r="C232">
        <v>-1.9</v>
      </c>
      <c r="D232">
        <v>68.56</v>
      </c>
      <c r="H232" t="str">
        <f t="shared" si="6"/>
        <v/>
      </c>
      <c r="I232" t="str">
        <f t="shared" si="7"/>
        <v/>
      </c>
    </row>
    <row r="233" spans="1:9" x14ac:dyDescent="0.3">
      <c r="A233" t="s">
        <v>278</v>
      </c>
      <c r="B233">
        <v>0.3377</v>
      </c>
      <c r="C233">
        <v>-4.0999999999999996</v>
      </c>
      <c r="D233">
        <v>66.400000000000006</v>
      </c>
      <c r="H233" t="str">
        <f t="shared" si="6"/>
        <v/>
      </c>
      <c r="I233" t="str">
        <f t="shared" si="7"/>
        <v/>
      </c>
    </row>
    <row r="234" spans="1:9" x14ac:dyDescent="0.3">
      <c r="A234" t="s">
        <v>264</v>
      </c>
      <c r="B234">
        <v>0.41110000000000002</v>
      </c>
      <c r="C234">
        <v>-1.9</v>
      </c>
      <c r="D234">
        <v>67.88</v>
      </c>
      <c r="H234" t="str">
        <f t="shared" si="6"/>
        <v/>
      </c>
      <c r="I234" t="str">
        <f t="shared" si="7"/>
        <v/>
      </c>
    </row>
    <row r="235" spans="1:9" x14ac:dyDescent="0.3">
      <c r="A235" t="s">
        <v>129</v>
      </c>
      <c r="B235">
        <v>0.3896</v>
      </c>
      <c r="C235">
        <v>-3.1</v>
      </c>
      <c r="D235">
        <v>66.28</v>
      </c>
      <c r="H235" t="str">
        <f t="shared" si="6"/>
        <v/>
      </c>
      <c r="I235" t="str">
        <f t="shared" si="7"/>
        <v/>
      </c>
    </row>
    <row r="236" spans="1:9" x14ac:dyDescent="0.3">
      <c r="A236" t="s">
        <v>352</v>
      </c>
      <c r="B236">
        <v>0.33100000000000002</v>
      </c>
      <c r="C236">
        <v>-3</v>
      </c>
      <c r="D236">
        <v>66.66</v>
      </c>
      <c r="H236" t="str">
        <f t="shared" si="6"/>
        <v/>
      </c>
      <c r="I236" t="str">
        <f t="shared" si="7"/>
        <v/>
      </c>
    </row>
    <row r="237" spans="1:9" x14ac:dyDescent="0.3">
      <c r="A237" t="s">
        <v>286</v>
      </c>
      <c r="B237">
        <v>0.3473</v>
      </c>
      <c r="C237">
        <v>-3.7</v>
      </c>
      <c r="D237">
        <v>65.45</v>
      </c>
      <c r="H237" t="str">
        <f t="shared" si="6"/>
        <v/>
      </c>
      <c r="I237" t="str">
        <f t="shared" si="7"/>
        <v/>
      </c>
    </row>
    <row r="238" spans="1:9" x14ac:dyDescent="0.3">
      <c r="A238" t="s">
        <v>189</v>
      </c>
      <c r="B238">
        <v>0.34710000000000002</v>
      </c>
      <c r="C238">
        <v>-2.5</v>
      </c>
      <c r="D238">
        <v>66.33</v>
      </c>
      <c r="G238">
        <v>16</v>
      </c>
      <c r="H238" t="str">
        <f t="shared" si="6"/>
        <v/>
      </c>
      <c r="I238" t="str">
        <f t="shared" si="7"/>
        <v/>
      </c>
    </row>
    <row r="239" spans="1:9" x14ac:dyDescent="0.3">
      <c r="A239" t="s">
        <v>176</v>
      </c>
      <c r="B239">
        <v>0.33810000000000001</v>
      </c>
      <c r="C239">
        <v>-2.9</v>
      </c>
      <c r="D239">
        <v>68.72</v>
      </c>
      <c r="H239" t="str">
        <f t="shared" si="6"/>
        <v/>
      </c>
      <c r="I239" t="str">
        <f t="shared" si="7"/>
        <v/>
      </c>
    </row>
    <row r="240" spans="1:9" x14ac:dyDescent="0.3">
      <c r="A240" t="s">
        <v>265</v>
      </c>
      <c r="B240">
        <v>0.33250000000000002</v>
      </c>
      <c r="C240">
        <v>-3</v>
      </c>
      <c r="D240">
        <v>68.010000000000005</v>
      </c>
      <c r="H240" t="str">
        <f t="shared" si="6"/>
        <v/>
      </c>
      <c r="I240" t="str">
        <f t="shared" si="7"/>
        <v/>
      </c>
    </row>
    <row r="241" spans="1:9" x14ac:dyDescent="0.3">
      <c r="A241" t="s">
        <v>353</v>
      </c>
      <c r="B241">
        <v>0.30969999999999998</v>
      </c>
      <c r="C241">
        <v>-4.4000000000000004</v>
      </c>
      <c r="D241">
        <v>65.84</v>
      </c>
      <c r="H241" t="str">
        <f t="shared" si="6"/>
        <v/>
      </c>
      <c r="I241" t="str">
        <f t="shared" si="7"/>
        <v/>
      </c>
    </row>
    <row r="242" spans="1:9" x14ac:dyDescent="0.3">
      <c r="A242" t="s">
        <v>204</v>
      </c>
      <c r="B242">
        <v>0.35039999999999999</v>
      </c>
      <c r="C242">
        <v>-3.6</v>
      </c>
      <c r="D242">
        <v>65.349999999999994</v>
      </c>
      <c r="G242">
        <v>16</v>
      </c>
      <c r="H242" t="str">
        <f t="shared" si="6"/>
        <v/>
      </c>
      <c r="I242" t="str">
        <f t="shared" si="7"/>
        <v/>
      </c>
    </row>
    <row r="243" spans="1:9" x14ac:dyDescent="0.3">
      <c r="A243" t="s">
        <v>135</v>
      </c>
      <c r="B243">
        <v>0.3276</v>
      </c>
      <c r="C243">
        <v>-4.3</v>
      </c>
      <c r="D243">
        <v>65.8</v>
      </c>
      <c r="H243" t="str">
        <f t="shared" si="6"/>
        <v/>
      </c>
      <c r="I243" t="str">
        <f t="shared" si="7"/>
        <v/>
      </c>
    </row>
    <row r="244" spans="1:9" x14ac:dyDescent="0.3">
      <c r="A244" t="s">
        <v>173</v>
      </c>
      <c r="B244">
        <v>0.31909999999999999</v>
      </c>
      <c r="C244">
        <v>-2.2000000000000002</v>
      </c>
      <c r="D244">
        <v>67.86</v>
      </c>
      <c r="H244" t="str">
        <f t="shared" si="6"/>
        <v/>
      </c>
      <c r="I244" t="str">
        <f t="shared" si="7"/>
        <v/>
      </c>
    </row>
    <row r="245" spans="1:9" x14ac:dyDescent="0.3">
      <c r="A245" t="s">
        <v>34</v>
      </c>
      <c r="B245">
        <v>0.32500000000000001</v>
      </c>
      <c r="C245">
        <v>-4.3</v>
      </c>
      <c r="D245">
        <v>66</v>
      </c>
      <c r="H245" t="str">
        <f t="shared" si="6"/>
        <v/>
      </c>
      <c r="I245" t="str">
        <f t="shared" si="7"/>
        <v/>
      </c>
    </row>
    <row r="246" spans="1:9" x14ac:dyDescent="0.3">
      <c r="A246" t="s">
        <v>149</v>
      </c>
      <c r="B246">
        <v>0.30509999999999998</v>
      </c>
      <c r="C246">
        <v>-3</v>
      </c>
      <c r="D246">
        <v>66.36</v>
      </c>
      <c r="H246" t="str">
        <f t="shared" si="6"/>
        <v/>
      </c>
      <c r="I246" t="str">
        <f t="shared" si="7"/>
        <v/>
      </c>
    </row>
    <row r="247" spans="1:9" x14ac:dyDescent="0.3">
      <c r="A247" t="s">
        <v>289</v>
      </c>
      <c r="B247">
        <v>0.31330000000000002</v>
      </c>
      <c r="C247">
        <v>-4.8</v>
      </c>
      <c r="D247">
        <v>63.97</v>
      </c>
      <c r="H247" t="str">
        <f t="shared" si="6"/>
        <v/>
      </c>
      <c r="I247" t="str">
        <f t="shared" si="7"/>
        <v/>
      </c>
    </row>
    <row r="248" spans="1:9" x14ac:dyDescent="0.3">
      <c r="A248" t="s">
        <v>154</v>
      </c>
      <c r="B248">
        <v>0.3165</v>
      </c>
      <c r="C248">
        <v>-3.2</v>
      </c>
      <c r="D248">
        <v>67.39</v>
      </c>
      <c r="H248" t="str">
        <f t="shared" si="6"/>
        <v/>
      </c>
      <c r="I248" t="str">
        <f t="shared" si="7"/>
        <v/>
      </c>
    </row>
    <row r="249" spans="1:9" x14ac:dyDescent="0.3">
      <c r="A249" t="s">
        <v>175</v>
      </c>
      <c r="B249">
        <v>0.31469999999999998</v>
      </c>
      <c r="C249">
        <v>-4.4000000000000004</v>
      </c>
      <c r="D249">
        <v>66.150000000000006</v>
      </c>
      <c r="H249" t="str">
        <f t="shared" si="6"/>
        <v/>
      </c>
      <c r="I249" t="str">
        <f t="shared" si="7"/>
        <v/>
      </c>
    </row>
    <row r="250" spans="1:9" x14ac:dyDescent="0.3">
      <c r="A250" t="s">
        <v>318</v>
      </c>
      <c r="B250">
        <v>0.2969</v>
      </c>
      <c r="C250">
        <v>-4.5999999999999996</v>
      </c>
      <c r="D250">
        <v>65.239999999999995</v>
      </c>
      <c r="H250" t="str">
        <f t="shared" si="6"/>
        <v/>
      </c>
      <c r="I250" t="str">
        <f t="shared" si="7"/>
        <v/>
      </c>
    </row>
    <row r="251" spans="1:9" x14ac:dyDescent="0.3">
      <c r="A251" t="s">
        <v>89</v>
      </c>
      <c r="B251">
        <v>0.31480000000000002</v>
      </c>
      <c r="C251">
        <v>-4.0999999999999996</v>
      </c>
      <c r="D251">
        <v>67.06</v>
      </c>
      <c r="H251" t="str">
        <f t="shared" si="6"/>
        <v/>
      </c>
      <c r="I251" t="str">
        <f t="shared" si="7"/>
        <v/>
      </c>
    </row>
    <row r="252" spans="1:9" x14ac:dyDescent="0.3">
      <c r="A252" t="s">
        <v>317</v>
      </c>
      <c r="B252">
        <v>0.31080000000000002</v>
      </c>
      <c r="C252">
        <v>-4.0999999999999996</v>
      </c>
      <c r="D252">
        <v>66.680000000000007</v>
      </c>
      <c r="H252" t="str">
        <f t="shared" si="6"/>
        <v/>
      </c>
      <c r="I252" t="str">
        <f t="shared" si="7"/>
        <v/>
      </c>
    </row>
    <row r="253" spans="1:9" x14ac:dyDescent="0.3">
      <c r="A253" t="s">
        <v>215</v>
      </c>
      <c r="B253">
        <v>0.3861</v>
      </c>
      <c r="C253">
        <v>-2.8</v>
      </c>
      <c r="D253">
        <v>66.849999999999994</v>
      </c>
      <c r="G253">
        <v>16</v>
      </c>
      <c r="H253" t="str">
        <f t="shared" si="6"/>
        <v/>
      </c>
      <c r="I253" t="str">
        <f t="shared" si="7"/>
        <v/>
      </c>
    </row>
    <row r="254" spans="1:9" x14ac:dyDescent="0.3">
      <c r="A254" t="s">
        <v>260</v>
      </c>
      <c r="B254">
        <v>0.3377</v>
      </c>
      <c r="C254">
        <v>-2.7</v>
      </c>
      <c r="D254">
        <v>66.290000000000006</v>
      </c>
      <c r="H254" t="str">
        <f t="shared" si="6"/>
        <v/>
      </c>
      <c r="I254" t="str">
        <f t="shared" si="7"/>
        <v/>
      </c>
    </row>
    <row r="255" spans="1:9" x14ac:dyDescent="0.3">
      <c r="A255" t="s">
        <v>253</v>
      </c>
      <c r="B255">
        <v>0.32529999999999998</v>
      </c>
      <c r="C255">
        <v>-4.0999999999999996</v>
      </c>
      <c r="D255">
        <v>66.3</v>
      </c>
      <c r="H255" t="str">
        <f t="shared" si="6"/>
        <v/>
      </c>
      <c r="I255" t="str">
        <f t="shared" si="7"/>
        <v/>
      </c>
    </row>
    <row r="256" spans="1:9" x14ac:dyDescent="0.3">
      <c r="A256" t="s">
        <v>275</v>
      </c>
      <c r="B256">
        <v>0.32319999999999999</v>
      </c>
      <c r="C256">
        <v>-3.9</v>
      </c>
      <c r="D256">
        <v>65.900000000000006</v>
      </c>
      <c r="H256" t="str">
        <f t="shared" si="6"/>
        <v/>
      </c>
      <c r="I256" t="str">
        <f t="shared" si="7"/>
        <v/>
      </c>
    </row>
    <row r="257" spans="1:9" x14ac:dyDescent="0.3">
      <c r="A257" t="s">
        <v>206</v>
      </c>
      <c r="B257">
        <v>0.30859999999999999</v>
      </c>
      <c r="C257">
        <v>-4.5</v>
      </c>
      <c r="D257">
        <v>65.05</v>
      </c>
      <c r="H257" t="str">
        <f t="shared" si="6"/>
        <v/>
      </c>
      <c r="I257" t="str">
        <f t="shared" si="7"/>
        <v/>
      </c>
    </row>
    <row r="258" spans="1:9" x14ac:dyDescent="0.3">
      <c r="A258" t="s">
        <v>354</v>
      </c>
      <c r="B258">
        <v>0.31469999999999998</v>
      </c>
      <c r="C258">
        <v>-4.7</v>
      </c>
      <c r="D258">
        <v>64.989999999999995</v>
      </c>
      <c r="H258" t="str">
        <f t="shared" si="6"/>
        <v/>
      </c>
      <c r="I258" t="str">
        <f t="shared" si="7"/>
        <v/>
      </c>
    </row>
    <row r="259" spans="1:9" x14ac:dyDescent="0.3">
      <c r="A259" t="s">
        <v>287</v>
      </c>
      <c r="B259">
        <v>0.3049</v>
      </c>
      <c r="C259">
        <v>-4.8</v>
      </c>
      <c r="D259">
        <v>66.17</v>
      </c>
      <c r="H259" t="str">
        <f t="shared" ref="H259:H322" si="8">IF(E259&lt;&gt;"",E259,"")</f>
        <v/>
      </c>
      <c r="I259" t="str">
        <f t="shared" ref="I259:I322" si="9">IF(F259&lt;&gt;"",F259,"")</f>
        <v/>
      </c>
    </row>
    <row r="260" spans="1:9" x14ac:dyDescent="0.3">
      <c r="A260" t="s">
        <v>119</v>
      </c>
      <c r="B260">
        <v>0.30230000000000001</v>
      </c>
      <c r="C260">
        <v>-2.2999999999999998</v>
      </c>
      <c r="D260">
        <v>68.760000000000005</v>
      </c>
      <c r="H260" t="str">
        <f t="shared" si="8"/>
        <v/>
      </c>
      <c r="I260" t="str">
        <f t="shared" si="9"/>
        <v/>
      </c>
    </row>
    <row r="261" spans="1:9" x14ac:dyDescent="0.3">
      <c r="A261" t="s">
        <v>166</v>
      </c>
      <c r="B261">
        <v>0.27200000000000002</v>
      </c>
      <c r="C261">
        <v>-6</v>
      </c>
      <c r="D261">
        <v>64.13</v>
      </c>
      <c r="H261" t="str">
        <f t="shared" si="8"/>
        <v/>
      </c>
      <c r="I261" t="str">
        <f t="shared" si="9"/>
        <v/>
      </c>
    </row>
    <row r="262" spans="1:9" x14ac:dyDescent="0.3">
      <c r="A262" t="s">
        <v>207</v>
      </c>
      <c r="B262">
        <v>0.26569999999999999</v>
      </c>
      <c r="C262">
        <v>-5</v>
      </c>
      <c r="D262">
        <v>63.42</v>
      </c>
      <c r="H262" t="str">
        <f t="shared" si="8"/>
        <v/>
      </c>
      <c r="I262" t="str">
        <f t="shared" si="9"/>
        <v/>
      </c>
    </row>
    <row r="263" spans="1:9" x14ac:dyDescent="0.3">
      <c r="A263" t="s">
        <v>355</v>
      </c>
      <c r="B263">
        <v>0.27860000000000001</v>
      </c>
      <c r="C263">
        <v>-4.5</v>
      </c>
      <c r="D263">
        <v>64.569999999999993</v>
      </c>
      <c r="H263" t="str">
        <f t="shared" si="8"/>
        <v/>
      </c>
      <c r="I263" t="str">
        <f t="shared" si="9"/>
        <v/>
      </c>
    </row>
    <row r="264" spans="1:9" x14ac:dyDescent="0.3">
      <c r="A264" t="s">
        <v>203</v>
      </c>
      <c r="B264">
        <v>0.29599999999999999</v>
      </c>
      <c r="C264">
        <v>-4.9000000000000004</v>
      </c>
      <c r="D264">
        <v>66.5</v>
      </c>
      <c r="H264" t="str">
        <f t="shared" si="8"/>
        <v/>
      </c>
      <c r="I264" t="str">
        <f t="shared" si="9"/>
        <v/>
      </c>
    </row>
    <row r="265" spans="1:9" x14ac:dyDescent="0.3">
      <c r="A265" t="s">
        <v>356</v>
      </c>
      <c r="B265">
        <v>0.25779999999999997</v>
      </c>
      <c r="C265">
        <v>-5.8</v>
      </c>
      <c r="D265">
        <v>63.24</v>
      </c>
      <c r="H265" t="str">
        <f t="shared" si="8"/>
        <v/>
      </c>
      <c r="I265" t="str">
        <f t="shared" si="9"/>
        <v/>
      </c>
    </row>
    <row r="266" spans="1:9" x14ac:dyDescent="0.3">
      <c r="A266" t="s">
        <v>222</v>
      </c>
      <c r="B266">
        <v>0.2707</v>
      </c>
      <c r="C266">
        <v>-5.4</v>
      </c>
      <c r="D266">
        <v>63.77</v>
      </c>
      <c r="H266" t="str">
        <f t="shared" si="8"/>
        <v/>
      </c>
      <c r="I266" t="str">
        <f t="shared" si="9"/>
        <v/>
      </c>
    </row>
    <row r="267" spans="1:9" x14ac:dyDescent="0.3">
      <c r="A267" t="s">
        <v>143</v>
      </c>
      <c r="B267">
        <v>0.25940000000000002</v>
      </c>
      <c r="C267">
        <v>-5.7</v>
      </c>
      <c r="D267">
        <v>63.77</v>
      </c>
      <c r="H267" t="str">
        <f t="shared" si="8"/>
        <v/>
      </c>
      <c r="I267" t="str">
        <f t="shared" si="9"/>
        <v/>
      </c>
    </row>
    <row r="268" spans="1:9" x14ac:dyDescent="0.3">
      <c r="A268" t="s">
        <v>288</v>
      </c>
      <c r="B268">
        <v>0.26090000000000002</v>
      </c>
      <c r="C268">
        <v>-5.7</v>
      </c>
      <c r="D268">
        <v>63.75</v>
      </c>
      <c r="H268" t="str">
        <f t="shared" si="8"/>
        <v/>
      </c>
      <c r="I268" t="str">
        <f t="shared" si="9"/>
        <v/>
      </c>
    </row>
    <row r="269" spans="1:9" x14ac:dyDescent="0.3">
      <c r="A269" t="s">
        <v>297</v>
      </c>
      <c r="B269">
        <v>0.29370000000000002</v>
      </c>
      <c r="C269">
        <v>-4.5999999999999996</v>
      </c>
      <c r="D269">
        <v>65.930000000000007</v>
      </c>
      <c r="H269" t="str">
        <f t="shared" si="8"/>
        <v/>
      </c>
      <c r="I269" t="str">
        <f t="shared" si="9"/>
        <v/>
      </c>
    </row>
    <row r="270" spans="1:9" x14ac:dyDescent="0.3">
      <c r="A270" t="s">
        <v>285</v>
      </c>
      <c r="B270">
        <v>0.31840000000000002</v>
      </c>
      <c r="C270">
        <v>-4.5</v>
      </c>
      <c r="D270">
        <v>64.989999999999995</v>
      </c>
      <c r="H270" t="str">
        <f t="shared" si="8"/>
        <v/>
      </c>
      <c r="I270" t="str">
        <f t="shared" si="9"/>
        <v/>
      </c>
    </row>
    <row r="271" spans="1:9" x14ac:dyDescent="0.3">
      <c r="A271" t="s">
        <v>273</v>
      </c>
      <c r="B271">
        <v>0.26090000000000002</v>
      </c>
      <c r="C271">
        <v>-5.2</v>
      </c>
      <c r="D271">
        <v>62.52</v>
      </c>
      <c r="H271" t="str">
        <f t="shared" si="8"/>
        <v/>
      </c>
      <c r="I271" t="str">
        <f t="shared" si="9"/>
        <v/>
      </c>
    </row>
    <row r="272" spans="1:9" x14ac:dyDescent="0.3">
      <c r="A272" t="s">
        <v>277</v>
      </c>
      <c r="B272">
        <v>0.26729999999999998</v>
      </c>
      <c r="C272">
        <v>-5.2</v>
      </c>
      <c r="D272">
        <v>65.77</v>
      </c>
      <c r="H272" t="str">
        <f t="shared" si="8"/>
        <v/>
      </c>
      <c r="I272" t="str">
        <f t="shared" si="9"/>
        <v/>
      </c>
    </row>
    <row r="273" spans="1:9" x14ac:dyDescent="0.3">
      <c r="A273" t="s">
        <v>205</v>
      </c>
      <c r="B273">
        <v>0.24990000000000001</v>
      </c>
      <c r="C273">
        <v>-5.3</v>
      </c>
      <c r="D273">
        <v>64.069999999999993</v>
      </c>
      <c r="H273" t="str">
        <f t="shared" si="8"/>
        <v/>
      </c>
      <c r="I273" t="str">
        <f t="shared" si="9"/>
        <v/>
      </c>
    </row>
    <row r="274" spans="1:9" x14ac:dyDescent="0.3">
      <c r="A274" t="s">
        <v>219</v>
      </c>
      <c r="B274">
        <v>0.27300000000000002</v>
      </c>
      <c r="C274">
        <v>-4.5</v>
      </c>
      <c r="D274">
        <v>63.28</v>
      </c>
      <c r="G274">
        <v>16</v>
      </c>
      <c r="H274" t="str">
        <f t="shared" si="8"/>
        <v/>
      </c>
      <c r="I274" t="str">
        <f t="shared" si="9"/>
        <v/>
      </c>
    </row>
    <row r="275" spans="1:9" x14ac:dyDescent="0.3">
      <c r="A275" t="s">
        <v>357</v>
      </c>
      <c r="B275">
        <v>0.27610000000000001</v>
      </c>
      <c r="C275">
        <v>-5</v>
      </c>
      <c r="D275">
        <v>63.86</v>
      </c>
      <c r="H275" t="str">
        <f t="shared" si="8"/>
        <v/>
      </c>
      <c r="I275" t="str">
        <f t="shared" si="9"/>
        <v/>
      </c>
    </row>
    <row r="276" spans="1:9" x14ac:dyDescent="0.3">
      <c r="A276" t="s">
        <v>177</v>
      </c>
      <c r="B276">
        <v>0.26350000000000001</v>
      </c>
      <c r="C276">
        <v>-5.3</v>
      </c>
      <c r="D276">
        <v>66.430000000000007</v>
      </c>
      <c r="H276" t="str">
        <f t="shared" si="8"/>
        <v/>
      </c>
      <c r="I276" t="str">
        <f t="shared" si="9"/>
        <v/>
      </c>
    </row>
    <row r="277" spans="1:9" x14ac:dyDescent="0.3">
      <c r="A277" t="s">
        <v>96</v>
      </c>
      <c r="B277">
        <v>0.26390000000000002</v>
      </c>
      <c r="C277">
        <v>-5.2</v>
      </c>
      <c r="D277">
        <v>64.260000000000005</v>
      </c>
      <c r="H277" t="str">
        <f t="shared" si="8"/>
        <v/>
      </c>
      <c r="I277" t="str">
        <f t="shared" si="9"/>
        <v/>
      </c>
    </row>
    <row r="278" spans="1:9" x14ac:dyDescent="0.3">
      <c r="A278" t="s">
        <v>227</v>
      </c>
      <c r="B278">
        <v>0.2326</v>
      </c>
      <c r="C278">
        <v>-5.5</v>
      </c>
      <c r="D278">
        <v>62.15</v>
      </c>
      <c r="H278" t="str">
        <f t="shared" si="8"/>
        <v/>
      </c>
      <c r="I278" t="str">
        <f t="shared" si="9"/>
        <v/>
      </c>
    </row>
    <row r="279" spans="1:9" x14ac:dyDescent="0.3">
      <c r="A279" t="s">
        <v>200</v>
      </c>
      <c r="B279">
        <v>0.24640000000000001</v>
      </c>
      <c r="C279">
        <v>-6.5</v>
      </c>
      <c r="D279">
        <v>63.62</v>
      </c>
      <c r="H279" t="str">
        <f t="shared" si="8"/>
        <v/>
      </c>
      <c r="I279" t="str">
        <f t="shared" si="9"/>
        <v/>
      </c>
    </row>
    <row r="280" spans="1:9" x14ac:dyDescent="0.3">
      <c r="A280" t="s">
        <v>33</v>
      </c>
      <c r="B280">
        <v>0.25919999999999999</v>
      </c>
      <c r="C280">
        <v>-5.9</v>
      </c>
      <c r="D280">
        <v>63.91</v>
      </c>
      <c r="H280" t="str">
        <f t="shared" si="8"/>
        <v/>
      </c>
      <c r="I280" t="str">
        <f t="shared" si="9"/>
        <v/>
      </c>
    </row>
    <row r="281" spans="1:9" x14ac:dyDescent="0.3">
      <c r="A281" t="s">
        <v>256</v>
      </c>
      <c r="B281">
        <v>0.24340000000000001</v>
      </c>
      <c r="C281">
        <v>-5.0999999999999996</v>
      </c>
      <c r="D281">
        <v>64.56</v>
      </c>
      <c r="H281" t="str">
        <f t="shared" si="8"/>
        <v/>
      </c>
      <c r="I281" t="str">
        <f t="shared" si="9"/>
        <v/>
      </c>
    </row>
    <row r="282" spans="1:9" x14ac:dyDescent="0.3">
      <c r="A282" t="s">
        <v>90</v>
      </c>
      <c r="B282">
        <v>0.27239999999999998</v>
      </c>
      <c r="C282">
        <v>-4</v>
      </c>
      <c r="D282">
        <v>64.930000000000007</v>
      </c>
      <c r="H282" t="str">
        <f t="shared" si="8"/>
        <v/>
      </c>
      <c r="I282" t="str">
        <f t="shared" si="9"/>
        <v/>
      </c>
    </row>
    <row r="283" spans="1:9" x14ac:dyDescent="0.3">
      <c r="A283" t="s">
        <v>282</v>
      </c>
      <c r="B283">
        <v>0.24099999999999999</v>
      </c>
      <c r="C283">
        <v>-7.3</v>
      </c>
      <c r="D283">
        <v>63.34</v>
      </c>
      <c r="H283" t="str">
        <f t="shared" si="8"/>
        <v/>
      </c>
      <c r="I283" t="str">
        <f t="shared" si="9"/>
        <v/>
      </c>
    </row>
    <row r="284" spans="1:9" x14ac:dyDescent="0.3">
      <c r="A284" t="s">
        <v>179</v>
      </c>
      <c r="B284">
        <v>0.26879999999999998</v>
      </c>
      <c r="C284">
        <v>-5.4</v>
      </c>
      <c r="D284">
        <v>65.42</v>
      </c>
      <c r="H284" t="str">
        <f t="shared" si="8"/>
        <v/>
      </c>
      <c r="I284" t="str">
        <f t="shared" si="9"/>
        <v/>
      </c>
    </row>
    <row r="285" spans="1:9" x14ac:dyDescent="0.3">
      <c r="A285" t="s">
        <v>271</v>
      </c>
      <c r="B285">
        <v>0.24310000000000001</v>
      </c>
      <c r="C285">
        <v>-7.3</v>
      </c>
      <c r="D285">
        <v>61.43</v>
      </c>
      <c r="H285" t="str">
        <f t="shared" si="8"/>
        <v/>
      </c>
      <c r="I285" t="str">
        <f t="shared" si="9"/>
        <v/>
      </c>
    </row>
    <row r="286" spans="1:9" x14ac:dyDescent="0.3">
      <c r="A286" t="s">
        <v>216</v>
      </c>
      <c r="B286">
        <v>0.2429</v>
      </c>
      <c r="C286">
        <v>-5.8</v>
      </c>
      <c r="D286">
        <v>63.31</v>
      </c>
      <c r="H286" t="str">
        <f t="shared" si="8"/>
        <v/>
      </c>
      <c r="I286" t="str">
        <f t="shared" si="9"/>
        <v/>
      </c>
    </row>
    <row r="287" spans="1:9" x14ac:dyDescent="0.3">
      <c r="A287" t="s">
        <v>197</v>
      </c>
      <c r="B287">
        <v>0.2487</v>
      </c>
      <c r="C287">
        <v>-6.7</v>
      </c>
      <c r="D287">
        <v>62.96</v>
      </c>
      <c r="H287" t="str">
        <f t="shared" si="8"/>
        <v/>
      </c>
      <c r="I287" t="str">
        <f t="shared" si="9"/>
        <v/>
      </c>
    </row>
    <row r="288" spans="1:9" x14ac:dyDescent="0.3">
      <c r="A288" t="s">
        <v>217</v>
      </c>
      <c r="B288">
        <v>0.23130000000000001</v>
      </c>
      <c r="C288">
        <v>-6.2</v>
      </c>
      <c r="D288">
        <v>62</v>
      </c>
      <c r="H288" t="str">
        <f t="shared" si="8"/>
        <v/>
      </c>
      <c r="I288" t="str">
        <f t="shared" si="9"/>
        <v/>
      </c>
    </row>
    <row r="289" spans="1:9" x14ac:dyDescent="0.3">
      <c r="A289" t="s">
        <v>164</v>
      </c>
      <c r="B289">
        <v>0.22509999999999999</v>
      </c>
      <c r="C289">
        <v>-8</v>
      </c>
      <c r="D289">
        <v>62.08</v>
      </c>
      <c r="H289" t="str">
        <f t="shared" si="8"/>
        <v/>
      </c>
      <c r="I289" t="str">
        <f t="shared" si="9"/>
        <v/>
      </c>
    </row>
    <row r="290" spans="1:9" x14ac:dyDescent="0.3">
      <c r="A290" t="s">
        <v>210</v>
      </c>
      <c r="B290">
        <v>0.2135</v>
      </c>
      <c r="C290">
        <v>-5.9</v>
      </c>
      <c r="D290">
        <v>61.63</v>
      </c>
      <c r="H290" t="str">
        <f t="shared" si="8"/>
        <v/>
      </c>
      <c r="I290" t="str">
        <f t="shared" si="9"/>
        <v/>
      </c>
    </row>
    <row r="291" spans="1:9" x14ac:dyDescent="0.3">
      <c r="A291" t="s">
        <v>214</v>
      </c>
      <c r="B291">
        <v>0.2021</v>
      </c>
      <c r="C291">
        <v>-7.9</v>
      </c>
      <c r="D291">
        <v>62</v>
      </c>
      <c r="H291" t="str">
        <f t="shared" si="8"/>
        <v/>
      </c>
      <c r="I291" t="str">
        <f t="shared" si="9"/>
        <v/>
      </c>
    </row>
    <row r="292" spans="1:9" x14ac:dyDescent="0.3">
      <c r="A292" t="s">
        <v>42</v>
      </c>
      <c r="B292">
        <v>0.2114</v>
      </c>
      <c r="C292">
        <v>-6.8</v>
      </c>
      <c r="D292">
        <v>61.58</v>
      </c>
      <c r="H292" t="str">
        <f t="shared" si="8"/>
        <v/>
      </c>
      <c r="I292" t="str">
        <f t="shared" si="9"/>
        <v/>
      </c>
    </row>
    <row r="293" spans="1:9" x14ac:dyDescent="0.3">
      <c r="A293" t="s">
        <v>128</v>
      </c>
      <c r="B293">
        <v>0.21460000000000001</v>
      </c>
      <c r="C293">
        <v>-7.5</v>
      </c>
      <c r="D293">
        <v>63.42</v>
      </c>
      <c r="H293" t="str">
        <f t="shared" si="8"/>
        <v/>
      </c>
      <c r="I293" t="str">
        <f t="shared" si="9"/>
        <v/>
      </c>
    </row>
    <row r="294" spans="1:9" x14ac:dyDescent="0.3">
      <c r="A294" t="s">
        <v>290</v>
      </c>
      <c r="B294">
        <v>0.20499999999999999</v>
      </c>
      <c r="C294">
        <v>-7.2</v>
      </c>
      <c r="D294">
        <v>60.11</v>
      </c>
      <c r="H294" t="str">
        <f t="shared" si="8"/>
        <v/>
      </c>
      <c r="I294" t="str">
        <f t="shared" si="9"/>
        <v/>
      </c>
    </row>
    <row r="295" spans="1:9" x14ac:dyDescent="0.3">
      <c r="A295" t="s">
        <v>319</v>
      </c>
      <c r="B295">
        <v>0.1988</v>
      </c>
      <c r="C295">
        <v>-5.8</v>
      </c>
      <c r="D295">
        <v>62.17</v>
      </c>
      <c r="H295" t="str">
        <f t="shared" si="8"/>
        <v/>
      </c>
      <c r="I295" t="str">
        <f t="shared" si="9"/>
        <v/>
      </c>
    </row>
    <row r="296" spans="1:9" x14ac:dyDescent="0.3">
      <c r="A296" t="s">
        <v>186</v>
      </c>
      <c r="B296">
        <v>0.22819999999999999</v>
      </c>
      <c r="C296">
        <v>-5.2</v>
      </c>
      <c r="D296">
        <v>63.05</v>
      </c>
      <c r="H296" t="str">
        <f t="shared" si="8"/>
        <v/>
      </c>
      <c r="I296" t="str">
        <f t="shared" si="9"/>
        <v/>
      </c>
    </row>
    <row r="297" spans="1:9" x14ac:dyDescent="0.3">
      <c r="A297" t="s">
        <v>268</v>
      </c>
      <c r="B297">
        <v>0.21790000000000001</v>
      </c>
      <c r="C297">
        <v>-6.8</v>
      </c>
      <c r="D297">
        <v>62.03</v>
      </c>
      <c r="H297" t="str">
        <f t="shared" si="8"/>
        <v/>
      </c>
      <c r="I297" t="str">
        <f t="shared" si="9"/>
        <v/>
      </c>
    </row>
    <row r="298" spans="1:9" x14ac:dyDescent="0.3">
      <c r="A298" t="s">
        <v>247</v>
      </c>
      <c r="B298">
        <v>0.2014</v>
      </c>
      <c r="C298">
        <v>-5.9</v>
      </c>
      <c r="D298">
        <v>63.54</v>
      </c>
      <c r="H298" t="str">
        <f t="shared" si="8"/>
        <v/>
      </c>
      <c r="I298" t="str">
        <f t="shared" si="9"/>
        <v/>
      </c>
    </row>
    <row r="299" spans="1:9" x14ac:dyDescent="0.3">
      <c r="A299" t="s">
        <v>298</v>
      </c>
      <c r="B299">
        <v>0.21110000000000001</v>
      </c>
      <c r="C299">
        <v>-8.1</v>
      </c>
      <c r="D299">
        <v>58.16</v>
      </c>
      <c r="H299" t="str">
        <f t="shared" si="8"/>
        <v/>
      </c>
      <c r="I299" t="str">
        <f t="shared" si="9"/>
        <v/>
      </c>
    </row>
    <row r="300" spans="1:9" x14ac:dyDescent="0.3">
      <c r="A300" t="s">
        <v>162</v>
      </c>
      <c r="B300">
        <v>0.23139999999999999</v>
      </c>
      <c r="C300">
        <v>-6.2</v>
      </c>
      <c r="D300">
        <v>63.02</v>
      </c>
      <c r="H300" t="str">
        <f t="shared" si="8"/>
        <v/>
      </c>
      <c r="I300" t="str">
        <f t="shared" si="9"/>
        <v/>
      </c>
    </row>
    <row r="301" spans="1:9" x14ac:dyDescent="0.3">
      <c r="A301" t="s">
        <v>224</v>
      </c>
      <c r="B301">
        <v>0.18279999999999999</v>
      </c>
      <c r="C301">
        <v>-8.1</v>
      </c>
      <c r="D301">
        <v>60.84</v>
      </c>
      <c r="H301" t="str">
        <f t="shared" si="8"/>
        <v/>
      </c>
      <c r="I301" t="str">
        <f t="shared" si="9"/>
        <v/>
      </c>
    </row>
    <row r="302" spans="1:9" x14ac:dyDescent="0.3">
      <c r="A302" t="s">
        <v>226</v>
      </c>
      <c r="B302">
        <v>0.28649999999999998</v>
      </c>
      <c r="C302">
        <v>-5.9</v>
      </c>
      <c r="D302">
        <v>62.45</v>
      </c>
      <c r="H302" t="str">
        <f t="shared" si="8"/>
        <v/>
      </c>
      <c r="I302" t="str">
        <f t="shared" si="9"/>
        <v/>
      </c>
    </row>
    <row r="303" spans="1:9" x14ac:dyDescent="0.3">
      <c r="A303" t="s">
        <v>293</v>
      </c>
      <c r="B303">
        <v>0.19769999999999999</v>
      </c>
      <c r="C303">
        <v>-8</v>
      </c>
      <c r="D303">
        <v>61.63</v>
      </c>
      <c r="H303" t="str">
        <f t="shared" si="8"/>
        <v/>
      </c>
      <c r="I303" t="str">
        <f t="shared" si="9"/>
        <v/>
      </c>
    </row>
    <row r="304" spans="1:9" x14ac:dyDescent="0.3">
      <c r="A304" t="s">
        <v>283</v>
      </c>
      <c r="B304">
        <v>0.19969999999999999</v>
      </c>
      <c r="C304">
        <v>-7.1</v>
      </c>
      <c r="D304">
        <v>62.57</v>
      </c>
      <c r="H304" t="str">
        <f t="shared" si="8"/>
        <v/>
      </c>
      <c r="I304" t="str">
        <f t="shared" si="9"/>
        <v/>
      </c>
    </row>
    <row r="305" spans="1:9" x14ac:dyDescent="0.3">
      <c r="A305" t="s">
        <v>201</v>
      </c>
      <c r="B305">
        <v>0.20960000000000001</v>
      </c>
      <c r="C305">
        <v>-7.8</v>
      </c>
      <c r="D305">
        <v>62.88</v>
      </c>
      <c r="H305" t="str">
        <f t="shared" si="8"/>
        <v/>
      </c>
      <c r="I305" t="str">
        <f t="shared" si="9"/>
        <v/>
      </c>
    </row>
    <row r="306" spans="1:9" x14ac:dyDescent="0.3">
      <c r="A306" t="s">
        <v>358</v>
      </c>
      <c r="B306">
        <v>0.15840000000000001</v>
      </c>
      <c r="C306">
        <v>-8.4</v>
      </c>
      <c r="D306">
        <v>59</v>
      </c>
      <c r="H306" t="str">
        <f t="shared" si="8"/>
        <v/>
      </c>
      <c r="I306" t="str">
        <f t="shared" si="9"/>
        <v/>
      </c>
    </row>
    <row r="307" spans="1:9" x14ac:dyDescent="0.3">
      <c r="A307" t="s">
        <v>150</v>
      </c>
      <c r="B307">
        <v>0.19850000000000001</v>
      </c>
      <c r="C307">
        <v>-7.5</v>
      </c>
      <c r="D307">
        <v>61.42</v>
      </c>
      <c r="H307" t="str">
        <f t="shared" si="8"/>
        <v/>
      </c>
      <c r="I307" t="str">
        <f t="shared" si="9"/>
        <v/>
      </c>
    </row>
    <row r="308" spans="1:9" x14ac:dyDescent="0.3">
      <c r="A308" t="s">
        <v>160</v>
      </c>
      <c r="B308">
        <v>0.2225</v>
      </c>
      <c r="C308">
        <v>-4.8</v>
      </c>
      <c r="D308">
        <v>64.17</v>
      </c>
      <c r="H308" t="str">
        <f t="shared" si="8"/>
        <v/>
      </c>
      <c r="I308" t="str">
        <f t="shared" si="9"/>
        <v/>
      </c>
    </row>
    <row r="309" spans="1:9" x14ac:dyDescent="0.3">
      <c r="A309" t="s">
        <v>192</v>
      </c>
      <c r="B309">
        <v>0.19839999999999999</v>
      </c>
      <c r="C309">
        <v>-7.5</v>
      </c>
      <c r="D309">
        <v>60.06</v>
      </c>
      <c r="H309" t="str">
        <f t="shared" si="8"/>
        <v/>
      </c>
      <c r="I309" t="str">
        <f t="shared" si="9"/>
        <v/>
      </c>
    </row>
    <row r="310" spans="1:9" x14ac:dyDescent="0.3">
      <c r="A310" t="s">
        <v>296</v>
      </c>
      <c r="B310">
        <v>0.16170000000000001</v>
      </c>
      <c r="C310">
        <v>-7.4</v>
      </c>
      <c r="D310">
        <v>58.17</v>
      </c>
      <c r="H310" t="str">
        <f t="shared" si="8"/>
        <v/>
      </c>
      <c r="I310" t="str">
        <f t="shared" si="9"/>
        <v/>
      </c>
    </row>
    <row r="311" spans="1:9" x14ac:dyDescent="0.3">
      <c r="A311" t="s">
        <v>279</v>
      </c>
      <c r="B311">
        <v>0.18149999999999999</v>
      </c>
      <c r="C311">
        <v>-8.1</v>
      </c>
      <c r="D311">
        <v>60.71</v>
      </c>
      <c r="H311" t="str">
        <f t="shared" si="8"/>
        <v/>
      </c>
      <c r="I311" t="str">
        <f t="shared" si="9"/>
        <v/>
      </c>
    </row>
    <row r="312" spans="1:9" x14ac:dyDescent="0.3">
      <c r="A312" t="s">
        <v>209</v>
      </c>
      <c r="B312">
        <v>0.17249999999999999</v>
      </c>
      <c r="C312">
        <v>-7.9</v>
      </c>
      <c r="D312">
        <v>60.52</v>
      </c>
      <c r="H312" t="str">
        <f t="shared" si="8"/>
        <v/>
      </c>
      <c r="I312" t="str">
        <f t="shared" si="9"/>
        <v/>
      </c>
    </row>
    <row r="313" spans="1:9" x14ac:dyDescent="0.3">
      <c r="A313" t="s">
        <v>212</v>
      </c>
      <c r="B313">
        <v>0.1953</v>
      </c>
      <c r="C313">
        <v>-8.6</v>
      </c>
      <c r="D313">
        <v>60.53</v>
      </c>
      <c r="H313" t="str">
        <f t="shared" si="8"/>
        <v/>
      </c>
      <c r="I313" t="str">
        <f t="shared" si="9"/>
        <v/>
      </c>
    </row>
    <row r="314" spans="1:9" x14ac:dyDescent="0.3">
      <c r="A314" t="s">
        <v>221</v>
      </c>
      <c r="B314">
        <v>0.1888</v>
      </c>
      <c r="C314">
        <v>-8.1</v>
      </c>
      <c r="D314">
        <v>58.24</v>
      </c>
      <c r="H314" t="str">
        <f t="shared" si="8"/>
        <v/>
      </c>
      <c r="I314" t="str">
        <f t="shared" si="9"/>
        <v/>
      </c>
    </row>
    <row r="315" spans="1:9" x14ac:dyDescent="0.3">
      <c r="A315" t="s">
        <v>180</v>
      </c>
      <c r="B315">
        <v>0.1711</v>
      </c>
      <c r="C315">
        <v>-7.4</v>
      </c>
      <c r="D315">
        <v>59.7</v>
      </c>
      <c r="H315" t="str">
        <f t="shared" si="8"/>
        <v/>
      </c>
      <c r="I315" t="str">
        <f t="shared" si="9"/>
        <v/>
      </c>
    </row>
    <row r="316" spans="1:9" x14ac:dyDescent="0.3">
      <c r="A316" t="s">
        <v>359</v>
      </c>
      <c r="B316">
        <v>0.1757</v>
      </c>
      <c r="C316">
        <v>-7.6</v>
      </c>
      <c r="D316">
        <v>59.75</v>
      </c>
      <c r="H316" t="str">
        <f t="shared" si="8"/>
        <v/>
      </c>
      <c r="I316" t="str">
        <f t="shared" si="9"/>
        <v/>
      </c>
    </row>
    <row r="317" spans="1:9" x14ac:dyDescent="0.3">
      <c r="A317" t="s">
        <v>23</v>
      </c>
      <c r="B317">
        <v>0.20269999999999999</v>
      </c>
      <c r="C317">
        <v>-7.9</v>
      </c>
      <c r="D317">
        <v>60.69</v>
      </c>
      <c r="H317" t="str">
        <f t="shared" si="8"/>
        <v/>
      </c>
      <c r="I317" t="str">
        <f t="shared" si="9"/>
        <v/>
      </c>
    </row>
    <row r="318" spans="1:9" x14ac:dyDescent="0.3">
      <c r="A318" t="s">
        <v>140</v>
      </c>
      <c r="B318">
        <v>0.17199999999999999</v>
      </c>
      <c r="C318">
        <v>-8.6</v>
      </c>
      <c r="D318">
        <v>59.5</v>
      </c>
      <c r="H318" t="str">
        <f t="shared" si="8"/>
        <v/>
      </c>
      <c r="I318" t="str">
        <f t="shared" si="9"/>
        <v/>
      </c>
    </row>
    <row r="319" spans="1:9" x14ac:dyDescent="0.3">
      <c r="A319" t="s">
        <v>182</v>
      </c>
      <c r="B319">
        <v>0.27489999999999998</v>
      </c>
      <c r="C319">
        <v>-6</v>
      </c>
      <c r="D319">
        <v>63.35</v>
      </c>
      <c r="G319">
        <v>16</v>
      </c>
      <c r="H319" t="str">
        <f t="shared" si="8"/>
        <v/>
      </c>
      <c r="I319" t="str">
        <f t="shared" si="9"/>
        <v/>
      </c>
    </row>
    <row r="320" spans="1:9" x14ac:dyDescent="0.3">
      <c r="A320" t="s">
        <v>218</v>
      </c>
      <c r="B320">
        <v>0.19420000000000001</v>
      </c>
      <c r="C320">
        <v>-7.1</v>
      </c>
      <c r="D320">
        <v>62.19</v>
      </c>
      <c r="H320" t="str">
        <f t="shared" si="8"/>
        <v/>
      </c>
      <c r="I320" t="str">
        <f t="shared" si="9"/>
        <v/>
      </c>
    </row>
    <row r="321" spans="1:9" x14ac:dyDescent="0.3">
      <c r="A321" t="s">
        <v>360</v>
      </c>
      <c r="B321">
        <v>0.17580000000000001</v>
      </c>
      <c r="C321">
        <v>-8.5</v>
      </c>
      <c r="D321">
        <v>60.1</v>
      </c>
      <c r="H321" t="str">
        <f t="shared" si="8"/>
        <v/>
      </c>
      <c r="I321" t="str">
        <f t="shared" si="9"/>
        <v/>
      </c>
    </row>
    <row r="322" spans="1:9" x14ac:dyDescent="0.3">
      <c r="A322" t="s">
        <v>263</v>
      </c>
      <c r="B322">
        <v>0.15820000000000001</v>
      </c>
      <c r="C322">
        <v>-8.9</v>
      </c>
      <c r="D322">
        <v>59.31</v>
      </c>
      <c r="H322" t="str">
        <f t="shared" si="8"/>
        <v/>
      </c>
      <c r="I322" t="str">
        <f t="shared" si="9"/>
        <v/>
      </c>
    </row>
    <row r="323" spans="1:9" x14ac:dyDescent="0.3">
      <c r="A323" t="s">
        <v>208</v>
      </c>
      <c r="B323">
        <v>0.16600000000000001</v>
      </c>
      <c r="C323">
        <v>-9.5</v>
      </c>
      <c r="D323">
        <v>62.25</v>
      </c>
      <c r="H323" t="str">
        <f t="shared" ref="H323:I352" si="10">IF(E323&lt;&gt;"",E323,"")</f>
        <v/>
      </c>
      <c r="I323" t="str">
        <f t="shared" ref="I323:I350" si="11">IF(F323&lt;&gt;"",F323,"")</f>
        <v/>
      </c>
    </row>
    <row r="324" spans="1:9" x14ac:dyDescent="0.3">
      <c r="A324" t="s">
        <v>320</v>
      </c>
      <c r="B324">
        <v>0.1852</v>
      </c>
      <c r="C324">
        <v>-7.4</v>
      </c>
      <c r="D324">
        <v>61.06</v>
      </c>
      <c r="H324" t="str">
        <f t="shared" si="10"/>
        <v/>
      </c>
      <c r="I324" t="str">
        <f t="shared" si="11"/>
        <v/>
      </c>
    </row>
    <row r="325" spans="1:9" x14ac:dyDescent="0.3">
      <c r="A325" t="s">
        <v>321</v>
      </c>
      <c r="B325">
        <v>0.16769999999999999</v>
      </c>
      <c r="C325">
        <v>-8.3000000000000007</v>
      </c>
      <c r="D325">
        <v>61.81</v>
      </c>
      <c r="H325" t="str">
        <f t="shared" si="10"/>
        <v/>
      </c>
      <c r="I325" t="str">
        <f t="shared" si="11"/>
        <v/>
      </c>
    </row>
    <row r="326" spans="1:9" x14ac:dyDescent="0.3">
      <c r="A326" t="s">
        <v>151</v>
      </c>
      <c r="B326">
        <v>0.16420000000000001</v>
      </c>
      <c r="C326">
        <v>-10.6</v>
      </c>
      <c r="D326">
        <v>59.75</v>
      </c>
      <c r="H326" t="str">
        <f t="shared" si="10"/>
        <v/>
      </c>
      <c r="I326" t="str">
        <f t="shared" si="11"/>
        <v/>
      </c>
    </row>
    <row r="327" spans="1:9" x14ac:dyDescent="0.3">
      <c r="A327" t="s">
        <v>223</v>
      </c>
      <c r="B327">
        <v>0.1661</v>
      </c>
      <c r="C327">
        <v>-9.4</v>
      </c>
      <c r="D327">
        <v>59.79</v>
      </c>
      <c r="H327" t="str">
        <f t="shared" si="10"/>
        <v/>
      </c>
      <c r="I327" t="str">
        <f t="shared" si="11"/>
        <v/>
      </c>
    </row>
    <row r="328" spans="1:9" x14ac:dyDescent="0.3">
      <c r="A328" t="s">
        <v>225</v>
      </c>
      <c r="B328">
        <v>0.1421</v>
      </c>
      <c r="C328">
        <v>-7.8</v>
      </c>
      <c r="D328">
        <v>59.4</v>
      </c>
      <c r="H328" t="str">
        <f t="shared" si="10"/>
        <v/>
      </c>
      <c r="I328" t="str">
        <f t="shared" si="11"/>
        <v/>
      </c>
    </row>
    <row r="329" spans="1:9" x14ac:dyDescent="0.3">
      <c r="A329" t="s">
        <v>170</v>
      </c>
      <c r="B329">
        <v>0.14030000000000001</v>
      </c>
      <c r="C329">
        <v>-8.3000000000000007</v>
      </c>
      <c r="D329">
        <v>59.47</v>
      </c>
      <c r="H329" t="str">
        <f t="shared" si="10"/>
        <v/>
      </c>
      <c r="I329" t="str">
        <f t="shared" si="11"/>
        <v/>
      </c>
    </row>
    <row r="330" spans="1:9" x14ac:dyDescent="0.3">
      <c r="A330" t="s">
        <v>291</v>
      </c>
      <c r="B330">
        <v>0.15140000000000001</v>
      </c>
      <c r="C330">
        <v>-8.6999999999999993</v>
      </c>
      <c r="D330">
        <v>58.35</v>
      </c>
      <c r="H330" t="str">
        <f t="shared" si="10"/>
        <v/>
      </c>
      <c r="I330" t="str">
        <f t="shared" si="11"/>
        <v/>
      </c>
    </row>
    <row r="331" spans="1:9" x14ac:dyDescent="0.3">
      <c r="A331" t="s">
        <v>202</v>
      </c>
      <c r="B331">
        <v>0.18260000000000001</v>
      </c>
      <c r="C331">
        <v>-9.1</v>
      </c>
      <c r="D331">
        <v>59.61</v>
      </c>
      <c r="H331" t="str">
        <f t="shared" si="10"/>
        <v/>
      </c>
      <c r="I331" t="str">
        <f t="shared" si="11"/>
        <v/>
      </c>
    </row>
    <row r="332" spans="1:9" x14ac:dyDescent="0.3">
      <c r="A332" t="s">
        <v>228</v>
      </c>
      <c r="B332">
        <v>0.1472</v>
      </c>
      <c r="C332">
        <v>-10.3</v>
      </c>
      <c r="D332">
        <v>58.89</v>
      </c>
      <c r="H332" t="str">
        <f t="shared" si="10"/>
        <v/>
      </c>
      <c r="I332" t="str">
        <f t="shared" si="11"/>
        <v/>
      </c>
    </row>
    <row r="333" spans="1:9" x14ac:dyDescent="0.3">
      <c r="A333" t="s">
        <v>284</v>
      </c>
      <c r="B333">
        <v>0.12189999999999999</v>
      </c>
      <c r="C333">
        <v>-10</v>
      </c>
      <c r="D333">
        <v>58.34</v>
      </c>
      <c r="H333" t="str">
        <f t="shared" si="10"/>
        <v/>
      </c>
      <c r="I333" t="str">
        <f t="shared" si="11"/>
        <v/>
      </c>
    </row>
    <row r="334" spans="1:9" x14ac:dyDescent="0.3">
      <c r="A334" t="s">
        <v>139</v>
      </c>
      <c r="B334">
        <v>0.12139999999999999</v>
      </c>
      <c r="C334">
        <v>-11.8</v>
      </c>
      <c r="D334">
        <v>57.54</v>
      </c>
      <c r="H334" t="str">
        <f t="shared" si="10"/>
        <v/>
      </c>
      <c r="I334" t="str">
        <f t="shared" si="11"/>
        <v/>
      </c>
    </row>
    <row r="335" spans="1:9" x14ac:dyDescent="0.3">
      <c r="A335" t="s">
        <v>229</v>
      </c>
      <c r="B335">
        <v>0.1381</v>
      </c>
      <c r="C335">
        <v>-11.2</v>
      </c>
      <c r="D335">
        <v>56.92</v>
      </c>
      <c r="H335" t="str">
        <f t="shared" si="10"/>
        <v/>
      </c>
      <c r="I335" t="str">
        <f t="shared" si="11"/>
        <v/>
      </c>
    </row>
    <row r="336" spans="1:9" x14ac:dyDescent="0.3">
      <c r="A336" t="s">
        <v>322</v>
      </c>
      <c r="B336">
        <v>0.1246</v>
      </c>
      <c r="C336">
        <v>-11</v>
      </c>
      <c r="D336">
        <v>57.13</v>
      </c>
      <c r="H336" t="str">
        <f t="shared" si="10"/>
        <v/>
      </c>
      <c r="I336" t="str">
        <f t="shared" si="11"/>
        <v/>
      </c>
    </row>
    <row r="337" spans="1:9" x14ac:dyDescent="0.3">
      <c r="A337" t="s">
        <v>281</v>
      </c>
      <c r="B337">
        <v>0.14910000000000001</v>
      </c>
      <c r="C337">
        <v>-10.3</v>
      </c>
      <c r="D337">
        <v>59.29</v>
      </c>
      <c r="H337" t="str">
        <f t="shared" si="10"/>
        <v/>
      </c>
      <c r="I337" t="str">
        <f t="shared" si="11"/>
        <v/>
      </c>
    </row>
    <row r="338" spans="1:9" x14ac:dyDescent="0.3">
      <c r="A338" t="s">
        <v>185</v>
      </c>
      <c r="B338">
        <v>0.12770000000000001</v>
      </c>
      <c r="C338">
        <v>-8.8000000000000007</v>
      </c>
      <c r="D338">
        <v>60.51</v>
      </c>
      <c r="H338" t="str">
        <f t="shared" si="10"/>
        <v/>
      </c>
      <c r="I338" t="str">
        <f t="shared" si="11"/>
        <v/>
      </c>
    </row>
    <row r="339" spans="1:9" x14ac:dyDescent="0.3">
      <c r="A339" t="s">
        <v>292</v>
      </c>
      <c r="B339">
        <v>0.16059999999999999</v>
      </c>
      <c r="C339">
        <v>-9.1</v>
      </c>
      <c r="D339">
        <v>57.77</v>
      </c>
      <c r="H339" t="str">
        <f t="shared" si="10"/>
        <v/>
      </c>
      <c r="I339" t="str">
        <f t="shared" si="11"/>
        <v/>
      </c>
    </row>
    <row r="340" spans="1:9" x14ac:dyDescent="0.3">
      <c r="A340" t="s">
        <v>258</v>
      </c>
      <c r="B340">
        <v>0.1082</v>
      </c>
      <c r="C340">
        <v>-10.199999999999999</v>
      </c>
      <c r="D340">
        <v>56.15</v>
      </c>
      <c r="H340" t="str">
        <f t="shared" si="10"/>
        <v/>
      </c>
      <c r="I340" t="str">
        <f t="shared" si="11"/>
        <v/>
      </c>
    </row>
    <row r="341" spans="1:9" x14ac:dyDescent="0.3">
      <c r="A341" t="s">
        <v>269</v>
      </c>
      <c r="B341">
        <v>0.11559999999999999</v>
      </c>
      <c r="C341">
        <v>-10.8</v>
      </c>
      <c r="D341">
        <v>57.79</v>
      </c>
      <c r="H341" t="str">
        <f t="shared" si="10"/>
        <v/>
      </c>
      <c r="I341" t="str">
        <f t="shared" si="11"/>
        <v/>
      </c>
    </row>
    <row r="342" spans="1:9" x14ac:dyDescent="0.3">
      <c r="A342" t="s">
        <v>211</v>
      </c>
      <c r="B342">
        <v>0.1212</v>
      </c>
      <c r="C342">
        <v>-10.7</v>
      </c>
      <c r="D342">
        <v>56.8</v>
      </c>
      <c r="H342" t="str">
        <f t="shared" si="10"/>
        <v/>
      </c>
      <c r="I342" t="str">
        <f t="shared" si="11"/>
        <v/>
      </c>
    </row>
    <row r="343" spans="1:9" x14ac:dyDescent="0.3">
      <c r="A343" t="s">
        <v>361</v>
      </c>
      <c r="B343">
        <v>0.1227</v>
      </c>
      <c r="C343">
        <v>-12.2</v>
      </c>
      <c r="D343">
        <v>54.98</v>
      </c>
      <c r="H343" t="str">
        <f t="shared" si="10"/>
        <v/>
      </c>
      <c r="I343" t="str">
        <f t="shared" si="11"/>
        <v/>
      </c>
    </row>
    <row r="344" spans="1:9" x14ac:dyDescent="0.3">
      <c r="A344" t="s">
        <v>295</v>
      </c>
      <c r="B344">
        <v>7.0300000000000001E-2</v>
      </c>
      <c r="C344">
        <v>-11.5</v>
      </c>
      <c r="D344">
        <v>55.64</v>
      </c>
      <c r="H344" t="str">
        <f t="shared" si="10"/>
        <v/>
      </c>
      <c r="I344" t="str">
        <f t="shared" si="11"/>
        <v/>
      </c>
    </row>
    <row r="345" spans="1:9" x14ac:dyDescent="0.3">
      <c r="A345" t="s">
        <v>362</v>
      </c>
      <c r="B345">
        <v>0.1321</v>
      </c>
      <c r="C345">
        <v>-11.3</v>
      </c>
      <c r="D345">
        <v>56.73</v>
      </c>
      <c r="H345" t="str">
        <f t="shared" si="10"/>
        <v/>
      </c>
      <c r="I345" t="str">
        <f t="shared" si="11"/>
        <v/>
      </c>
    </row>
    <row r="346" spans="1:9" x14ac:dyDescent="0.3">
      <c r="A346" t="s">
        <v>169</v>
      </c>
      <c r="B346">
        <v>9.9299999999999999E-2</v>
      </c>
      <c r="C346">
        <v>-11.4</v>
      </c>
      <c r="D346">
        <v>56.41</v>
      </c>
      <c r="H346" t="str">
        <f t="shared" si="10"/>
        <v/>
      </c>
      <c r="I346" t="str">
        <f t="shared" si="11"/>
        <v/>
      </c>
    </row>
    <row r="347" spans="1:9" x14ac:dyDescent="0.3">
      <c r="A347" t="s">
        <v>323</v>
      </c>
      <c r="B347">
        <v>8.7599999999999997E-2</v>
      </c>
      <c r="C347">
        <v>-12.3</v>
      </c>
      <c r="D347">
        <v>55.81</v>
      </c>
      <c r="H347" t="str">
        <f t="shared" si="10"/>
        <v/>
      </c>
      <c r="I347" t="str">
        <f t="shared" si="11"/>
        <v/>
      </c>
    </row>
    <row r="348" spans="1:9" x14ac:dyDescent="0.3">
      <c r="A348" t="s">
        <v>363</v>
      </c>
      <c r="B348">
        <v>9.8400000000000001E-2</v>
      </c>
      <c r="C348">
        <v>-12.2</v>
      </c>
      <c r="D348">
        <v>54.97</v>
      </c>
      <c r="H348" t="str">
        <f t="shared" si="10"/>
        <v/>
      </c>
      <c r="I348" t="str">
        <f t="shared" si="11"/>
        <v/>
      </c>
    </row>
    <row r="349" spans="1:9" x14ac:dyDescent="0.3">
      <c r="A349" t="s">
        <v>272</v>
      </c>
      <c r="B349">
        <v>7.3899999999999993E-2</v>
      </c>
      <c r="C349">
        <v>-13</v>
      </c>
      <c r="D349">
        <v>53.46</v>
      </c>
      <c r="H349" t="str">
        <f t="shared" si="10"/>
        <v/>
      </c>
      <c r="I349" t="str">
        <f t="shared" si="11"/>
        <v/>
      </c>
    </row>
    <row r="350" spans="1:9" x14ac:dyDescent="0.3">
      <c r="A350" t="s">
        <v>299</v>
      </c>
      <c r="B350">
        <v>9.3200000000000005E-2</v>
      </c>
      <c r="C350">
        <v>-12</v>
      </c>
      <c r="D350">
        <v>54.25</v>
      </c>
      <c r="H350" t="str">
        <f t="shared" si="10"/>
        <v/>
      </c>
      <c r="I350" t="str">
        <f t="shared" si="11"/>
        <v/>
      </c>
    </row>
    <row r="351" spans="1:9" x14ac:dyDescent="0.3">
      <c r="A351" t="s">
        <v>230</v>
      </c>
      <c r="B351">
        <v>6.6799999999999998E-2</v>
      </c>
      <c r="C351">
        <v>-15.1</v>
      </c>
      <c r="D351">
        <v>52.75</v>
      </c>
      <c r="H351" t="str">
        <f t="shared" si="10"/>
        <v/>
      </c>
      <c r="I351" t="str">
        <f>IF(F351&lt;&gt;"",F351,"")</f>
        <v/>
      </c>
    </row>
    <row r="352" spans="1:9" x14ac:dyDescent="0.3">
      <c r="A352" t="s">
        <v>364</v>
      </c>
      <c r="B352">
        <v>6.7000000000000004E-2</v>
      </c>
      <c r="C352">
        <v>-16.8</v>
      </c>
      <c r="D352">
        <v>52.56</v>
      </c>
      <c r="H352" t="str">
        <f t="shared" si="10"/>
        <v/>
      </c>
      <c r="I352" t="str">
        <f t="shared" si="10"/>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352"/>
  <sheetViews>
    <sheetView workbookViewId="0">
      <selection activeCell="J6" sqref="J6"/>
    </sheetView>
  </sheetViews>
  <sheetFormatPr defaultRowHeight="15.6" x14ac:dyDescent="0.3"/>
  <cols>
    <col min="1" max="1" width="23" style="44" bestFit="1" customWidth="1"/>
    <col min="2" max="2" width="10.83203125" style="44" bestFit="1" customWidth="1"/>
    <col min="3" max="3" width="9.75" style="44" bestFit="1" customWidth="1"/>
    <col min="4" max="4" width="11.83203125" style="44" bestFit="1" customWidth="1"/>
    <col min="5" max="5" width="17" style="44" bestFit="1" customWidth="1"/>
    <col min="6" max="6" width="22.08203125" style="44" bestFit="1" customWidth="1"/>
    <col min="7" max="8" width="22" style="44" customWidth="1"/>
    <col min="9" max="9" width="8.6640625" style="44"/>
    <col min="10" max="10" width="12.9140625" style="44" bestFit="1" customWidth="1"/>
    <col min="11" max="11" width="17" style="44" bestFit="1" customWidth="1"/>
    <col min="12" max="16384" width="8.6640625" style="44"/>
  </cols>
  <sheetData>
    <row r="1" spans="1:11" s="45" customFormat="1" ht="16.2" x14ac:dyDescent="0.3">
      <c r="A1" s="51" t="s">
        <v>62</v>
      </c>
      <c r="B1" s="51" t="s">
        <v>325</v>
      </c>
      <c r="C1" s="51" t="s">
        <v>231</v>
      </c>
      <c r="D1" s="51" t="s">
        <v>326</v>
      </c>
      <c r="E1" s="51" t="s">
        <v>371</v>
      </c>
      <c r="F1" s="51" t="s">
        <v>372</v>
      </c>
      <c r="G1" s="51" t="s">
        <v>302</v>
      </c>
      <c r="H1" s="51" t="s">
        <v>391</v>
      </c>
      <c r="I1" s="51"/>
      <c r="J1" s="51" t="s">
        <v>365</v>
      </c>
      <c r="K1" s="51" t="s">
        <v>366</v>
      </c>
    </row>
    <row r="2" spans="1:11" ht="16.2" x14ac:dyDescent="0.3">
      <c r="A2" s="52" t="str">
        <f>'Raw Data'!A2</f>
        <v>Michigan State</v>
      </c>
      <c r="B2" s="52">
        <f ca="1">'Raw Data'!B2*($K$2/_xlfn.STDEV.P('Raw Data'!B$2:'Raw Data'!B$352)) + ($J$2-($K$2/_xlfn.STDEV.P('Raw Data'!B$2:'Raw Data'!B$352))*AVERAGE('Raw Data'!B$2:'Raw Data'!B$352))</f>
        <v>88.253394229310061</v>
      </c>
      <c r="C2" s="52">
        <f ca="1">'Raw Data'!C2*($K$2/_xlfn.STDEV.P('Raw Data'!C$2:'Raw Data'!C$352)) + ($J$2-($K$2/_xlfn.STDEV.P('Raw Data'!C$2:'Raw Data'!C$352))*AVERAGE('Raw Data'!C$2:'Raw Data'!C$352))</f>
        <v>92.968841738328621</v>
      </c>
      <c r="D2" s="52">
        <f ca="1">'Raw Data'!D2*($K$2/_xlfn.STDEV.P('Raw Data'!D$2:'Raw Data'!D$352)) + ($J$2-($K$2/_xlfn.STDEV.P('Raw Data'!D$2:'Raw Data'!D$352))*AVERAGE('Raw Data'!D$2:'Raw Data'!D$352))</f>
        <v>92.53</v>
      </c>
      <c r="E2" s="52">
        <f ca="1">IFERROR($J$4+('Raw Data'!H2-MIN('Raw Data'!H$2:'Raw Data'!H$352))*($J$3-$J$4)/(MAX('Raw Data'!H$2:'Raw Data'!H$352)-MIN('Raw Data'!H$2:'Raw Data'!H$352)),"")</f>
        <v>87.952396166134179</v>
      </c>
      <c r="F2" s="52">
        <f ca="1">IFERROR($J$4+('Raw Data'!I2-MIN('Raw Data'!I$2:'Raw Data'!I$352))*($J$3-$J$4)/(MAX('Raw Data'!I$2:'Raw Data'!I$352)-MIN('Raw Data'!I$2:'Raw Data'!I$352)),"")</f>
        <v>87.740147058823524</v>
      </c>
      <c r="G2" s="52">
        <f ca="1">IF(Bracket!$I$1="Composite",AVERAGE(B2:F2),IF(Bracket!$I$1="Kenpom",B2,IF(Bracket!$I$1="PVA",C2,IF(Bracket!$I$1="Sagarin Predictor",D2,IF(Bracket!$I$1="No Preseason",AVERAGE(B2:D2),"")))))</f>
        <v>89.88895583851928</v>
      </c>
      <c r="H2" s="63">
        <f ca="1">RANK(G2,$G$2:$G$352)</f>
        <v>6</v>
      </c>
      <c r="I2" s="51" t="s">
        <v>367</v>
      </c>
      <c r="J2" s="52">
        <f ca="1">AVERAGE(OFFSET('Raw Data'!$A$1,0,MATCH('Adj Data'!$J$6,'Raw Data'!$B$1:$D$1,0),352))</f>
        <v>71.634273504273523</v>
      </c>
      <c r="K2" s="52">
        <f ca="1">_xlfn.STDEV.P(OFFSET('Raw Data'!$A$1,0,MATCH('Adj Data'!$J$6,'Raw Data'!$B$1:$D$1,0),352))</f>
        <v>9.0124265572269806</v>
      </c>
    </row>
    <row r="3" spans="1:11" ht="16.2" x14ac:dyDescent="0.3">
      <c r="A3" s="52" t="str">
        <f>'Raw Data'!A3</f>
        <v>Villanova</v>
      </c>
      <c r="B3" s="52">
        <f ca="1">'Raw Data'!B3*($K$2/_xlfn.STDEV.P('Raw Data'!B$2:'Raw Data'!B$352)) + ($J$2-($K$2/_xlfn.STDEV.P('Raw Data'!B$2:'Raw Data'!B$352))*AVERAGE('Raw Data'!B$2:'Raw Data'!B$352))</f>
        <v>88.732404168330604</v>
      </c>
      <c r="C3" s="52">
        <f ca="1">'Raw Data'!C3*($K$2/_xlfn.STDEV.P('Raw Data'!C$2:'Raw Data'!C$352)) + ($J$2-($K$2/_xlfn.STDEV.P('Raw Data'!C$2:'Raw Data'!C$352))*AVERAGE('Raw Data'!C$2:'Raw Data'!C$352))</f>
        <v>93.485811307383571</v>
      </c>
      <c r="D3" s="52">
        <f ca="1">'Raw Data'!D3*($K$2/_xlfn.STDEV.P('Raw Data'!D$2:'Raw Data'!D$352)) + ($J$2-($K$2/_xlfn.STDEV.P('Raw Data'!D$2:'Raw Data'!D$352))*AVERAGE('Raw Data'!D$2:'Raw Data'!D$352))</f>
        <v>91.61</v>
      </c>
      <c r="E3" s="52">
        <f ca="1">IFERROR($J$4+('Raw Data'!H3-MIN('Raw Data'!H$2:'Raw Data'!H$352))*($J$3-$J$4)/(MAX('Raw Data'!H$2:'Raw Data'!H$352)-MIN('Raw Data'!H$2:'Raw Data'!H$352)),"")</f>
        <v>89.132108626198089</v>
      </c>
      <c r="F3" s="52">
        <f ca="1">IFERROR($J$4+('Raw Data'!I3-MIN('Raw Data'!I$2:'Raw Data'!I$352))*($J$3-$J$4)/(MAX('Raw Data'!I$2:'Raw Data'!I$352)-MIN('Raw Data'!I$2:'Raw Data'!I$352)),"")</f>
        <v>89.319826203208549</v>
      </c>
      <c r="G3" s="52">
        <f ca="1">IF(Bracket!$I$1="Composite",AVERAGE(B3:F3),IF(Bracket!$I$1="Kenpom",B3,IF(Bracket!$I$1="PVA",C3,IF(Bracket!$I$1="Sagarin Predictor",D3,IF(Bracket!$I$1="No Preseason",AVERAGE(B3:D3),"")))))</f>
        <v>90.456030061024165</v>
      </c>
      <c r="H3" s="63">
        <f t="shared" ref="H3:H66" ca="1" si="0">RANK(G3,$G$2:$G$352)</f>
        <v>5</v>
      </c>
      <c r="I3" s="51" t="s">
        <v>369</v>
      </c>
      <c r="J3" s="52">
        <f ca="1">MAX(OFFSET('Raw Data'!$A$1,0,MATCH('Adj Data'!$J$6,'Raw Data'!$B$1:$D$1,0),352))</f>
        <v>92.86</v>
      </c>
      <c r="K3" s="52"/>
    </row>
    <row r="4" spans="1:11" ht="16.2" x14ac:dyDescent="0.3">
      <c r="A4" s="52" t="str">
        <f>'Raw Data'!A4</f>
        <v>Virginia</v>
      </c>
      <c r="B4" s="52">
        <f ca="1">'Raw Data'!B4*($K$2/_xlfn.STDEV.P('Raw Data'!B$2:'Raw Data'!B$352)) + ($J$2-($K$2/_xlfn.STDEV.P('Raw Data'!B$2:'Raw Data'!B$352))*AVERAGE('Raw Data'!B$2:'Raw Data'!B$352))</f>
        <v>89.151066398498159</v>
      </c>
      <c r="C4" s="52">
        <f ca="1">'Raw Data'!C4*($K$2/_xlfn.STDEV.P('Raw Data'!C$2:'Raw Data'!C$352)) + ($J$2-($K$2/_xlfn.STDEV.P('Raw Data'!C$2:'Raw Data'!C$352))*AVERAGE('Raw Data'!C$2:'Raw Data'!C$352))</f>
        <v>93.873538484174787</v>
      </c>
      <c r="D4" s="52">
        <f ca="1">'Raw Data'!D4*($K$2/_xlfn.STDEV.P('Raw Data'!D$2:'Raw Data'!D$352)) + ($J$2-($K$2/_xlfn.STDEV.P('Raw Data'!D$2:'Raw Data'!D$352))*AVERAGE('Raw Data'!D$2:'Raw Data'!D$352))</f>
        <v>91.81</v>
      </c>
      <c r="E4" s="52">
        <f ca="1">IFERROR($J$4+('Raw Data'!H4-MIN('Raw Data'!H$2:'Raw Data'!H$352))*($J$3-$J$4)/(MAX('Raw Data'!H$2:'Raw Data'!H$352)-MIN('Raw Data'!H$2:'Raw Data'!H$352)),"")</f>
        <v>91.383674121405747</v>
      </c>
      <c r="F4" s="52">
        <f ca="1">IFERROR($J$4+('Raw Data'!I4-MIN('Raw Data'!I$2:'Raw Data'!I$352))*($J$3-$J$4)/(MAX('Raw Data'!I$2:'Raw Data'!I$352)-MIN('Raw Data'!I$2:'Raw Data'!I$352)),"")</f>
        <v>91.703449197860962</v>
      </c>
      <c r="G4" s="52">
        <f ca="1">IF(Bracket!$I$1="Composite",AVERAGE(B4:F4),IF(Bracket!$I$1="Kenpom",B4,IF(Bracket!$I$1="PVA",C4,IF(Bracket!$I$1="Sagarin Predictor",D4,IF(Bracket!$I$1="No Preseason",AVERAGE(B4:D4),"")))))</f>
        <v>91.584345640387923</v>
      </c>
      <c r="H4" s="63">
        <f t="shared" ca="1" si="0"/>
        <v>3</v>
      </c>
      <c r="I4" s="51" t="s">
        <v>370</v>
      </c>
      <c r="J4" s="52">
        <f ca="1">LARGE(OFFSET('Raw Data'!$A$1,0,MATCH('Adj Data'!$J$6,'Raw Data'!$B$1:$D$1,0),352),50)</f>
        <v>82.31</v>
      </c>
      <c r="K4" s="52"/>
    </row>
    <row r="5" spans="1:11" x14ac:dyDescent="0.3">
      <c r="A5" s="52" t="str">
        <f>'Raw Data'!A5</f>
        <v>Kansas</v>
      </c>
      <c r="B5" s="52">
        <f ca="1">'Raw Data'!B5*($K$2/_xlfn.STDEV.P('Raw Data'!B$2:'Raw Data'!B$352)) + ($J$2-($K$2/_xlfn.STDEV.P('Raw Data'!B$2:'Raw Data'!B$352))*AVERAGE('Raw Data'!B$2:'Raw Data'!B$352))</f>
        <v>88.943621149316044</v>
      </c>
      <c r="C5" s="52">
        <f ca="1">'Raw Data'!C5*($K$2/_xlfn.STDEV.P('Raw Data'!C$2:'Raw Data'!C$352)) + ($J$2-($K$2/_xlfn.STDEV.P('Raw Data'!C$2:'Raw Data'!C$352))*AVERAGE('Raw Data'!C$2:'Raw Data'!C$352))</f>
        <v>92.58111456153739</v>
      </c>
      <c r="D5" s="52">
        <f ca="1">'Raw Data'!D5*($K$2/_xlfn.STDEV.P('Raw Data'!D$2:'Raw Data'!D$352)) + ($J$2-($K$2/_xlfn.STDEV.P('Raw Data'!D$2:'Raw Data'!D$352))*AVERAGE('Raw Data'!D$2:'Raw Data'!D$352))</f>
        <v>92.86</v>
      </c>
      <c r="E5" s="52">
        <f ca="1">IFERROR($J$4+('Raw Data'!H5-MIN('Raw Data'!H$2:'Raw Data'!H$352))*($J$3-$J$4)/(MAX('Raw Data'!H$2:'Raw Data'!H$352)-MIN('Raw Data'!H$2:'Raw Data'!H$352)),"")</f>
        <v>91.808370607028749</v>
      </c>
      <c r="F5" s="52">
        <f ca="1">IFERROR($J$4+('Raw Data'!I5-MIN('Raw Data'!I$2:'Raw Data'!I$352))*($J$3-$J$4)/(MAX('Raw Data'!I$2:'Raw Data'!I$352)-MIN('Raw Data'!I$2:'Raw Data'!I$352)),"")</f>
        <v>91.81628342245989</v>
      </c>
      <c r="G5" s="52">
        <f ca="1">IF(Bracket!$I$1="Composite",AVERAGE(B5:F5),IF(Bracket!$I$1="Kenpom",B5,IF(Bracket!$I$1="PVA",C5,IF(Bracket!$I$1="Sagarin Predictor",D5,IF(Bracket!$I$1="No Preseason",AVERAGE(B5:D5),"")))))</f>
        <v>91.601877948068406</v>
      </c>
      <c r="H5" s="63">
        <f t="shared" ca="1" si="0"/>
        <v>2</v>
      </c>
      <c r="I5" s="52"/>
      <c r="J5" s="52"/>
      <c r="K5" s="52"/>
    </row>
    <row r="6" spans="1:11" ht="16.2" x14ac:dyDescent="0.3">
      <c r="A6" s="52" t="str">
        <f>'Raw Data'!A6</f>
        <v>North Carolina</v>
      </c>
      <c r="B6" s="52">
        <f ca="1">'Raw Data'!B6*($K$2/_xlfn.STDEV.P('Raw Data'!B$2:'Raw Data'!B$352)) + ($J$2-($K$2/_xlfn.STDEV.P('Raw Data'!B$2:'Raw Data'!B$352))*AVERAGE('Raw Data'!B$2:'Raw Data'!B$352))</f>
        <v>88.781436681773656</v>
      </c>
      <c r="C6" s="52">
        <f ca="1">'Raw Data'!C6*($K$2/_xlfn.STDEV.P('Raw Data'!C$2:'Raw Data'!C$352)) + ($J$2-($K$2/_xlfn.STDEV.P('Raw Data'!C$2:'Raw Data'!C$352))*AVERAGE('Raw Data'!C$2:'Raw Data'!C$352))</f>
        <v>95.165962406812184</v>
      </c>
      <c r="D6" s="52">
        <f ca="1">'Raw Data'!D6*($K$2/_xlfn.STDEV.P('Raw Data'!D$2:'Raw Data'!D$352)) + ($J$2-($K$2/_xlfn.STDEV.P('Raw Data'!D$2:'Raw Data'!D$352))*AVERAGE('Raw Data'!D$2:'Raw Data'!D$352))</f>
        <v>91.86</v>
      </c>
      <c r="E6" s="52">
        <f ca="1">IFERROR($J$4+('Raw Data'!H6-MIN('Raw Data'!H$2:'Raw Data'!H$352))*($J$3-$J$4)/(MAX('Raw Data'!H$2:'Raw Data'!H$352)-MIN('Raw Data'!H$2:'Raw Data'!H$352)),"")</f>
        <v>92.86</v>
      </c>
      <c r="F6" s="52">
        <f ca="1">IFERROR($J$4+('Raw Data'!I6-MIN('Raw Data'!I$2:'Raw Data'!I$352))*($J$3-$J$4)/(MAX('Raw Data'!I$2:'Raw Data'!I$352)-MIN('Raw Data'!I$2:'Raw Data'!I$352)),"")</f>
        <v>92.86</v>
      </c>
      <c r="G6" s="52">
        <f ca="1">IF(Bracket!$I$1="Composite",AVERAGE(B6:F6),IF(Bracket!$I$1="Kenpom",B6,IF(Bracket!$I$1="PVA",C6,IF(Bracket!$I$1="Sagarin Predictor",D6,IF(Bracket!$I$1="No Preseason",AVERAGE(B6:D6),"")))))</f>
        <v>92.30547981771717</v>
      </c>
      <c r="H6" s="63">
        <f t="shared" ca="1" si="0"/>
        <v>1</v>
      </c>
      <c r="I6" s="51" t="s">
        <v>373</v>
      </c>
      <c r="J6" s="52" t="s">
        <v>326</v>
      </c>
      <c r="K6" s="52"/>
    </row>
    <row r="7" spans="1:11" x14ac:dyDescent="0.3">
      <c r="A7" s="52" t="str">
        <f>'Raw Data'!A7</f>
        <v>Oklahoma</v>
      </c>
      <c r="B7" s="52">
        <f ca="1">'Raw Data'!B7*($K$2/_xlfn.STDEV.P('Raw Data'!B$2:'Raw Data'!B$352)) + ($J$2-($K$2/_xlfn.STDEV.P('Raw Data'!B$2:'Raw Data'!B$352))*AVERAGE('Raw Data'!B$2:'Raw Data'!B$352))</f>
        <v>87.766840826682909</v>
      </c>
      <c r="C7" s="52">
        <f ca="1">'Raw Data'!C7*($K$2/_xlfn.STDEV.P('Raw Data'!C$2:'Raw Data'!C$352)) + ($J$2-($K$2/_xlfn.STDEV.P('Raw Data'!C$2:'Raw Data'!C$352))*AVERAGE('Raw Data'!C$2:'Raw Data'!C$352))</f>
        <v>90.900963462108791</v>
      </c>
      <c r="D7" s="52">
        <f ca="1">'Raw Data'!D7*($K$2/_xlfn.STDEV.P('Raw Data'!D$2:'Raw Data'!D$352)) + ($J$2-($K$2/_xlfn.STDEV.P('Raw Data'!D$2:'Raw Data'!D$352))*AVERAGE('Raw Data'!D$2:'Raw Data'!D$352))</f>
        <v>89.97</v>
      </c>
      <c r="E7" s="52">
        <f ca="1">IFERROR($J$4+('Raw Data'!H7-MIN('Raw Data'!H$2:'Raw Data'!H$352))*($J$3-$J$4)/(MAX('Raw Data'!H$2:'Raw Data'!H$352)-MIN('Raw Data'!H$2:'Raw Data'!H$352)),"")</f>
        <v>89.637699680511176</v>
      </c>
      <c r="F7" s="52">
        <f ca="1">IFERROR($J$4+('Raw Data'!I7-MIN('Raw Data'!I$2:'Raw Data'!I$352))*($J$3-$J$4)/(MAX('Raw Data'!I$2:'Raw Data'!I$352)-MIN('Raw Data'!I$2:'Raw Data'!I$352)),"")</f>
        <v>89.63012032085561</v>
      </c>
      <c r="G7" s="52">
        <f ca="1">IF(Bracket!$I$1="Composite",AVERAGE(B7:F7),IF(Bracket!$I$1="Kenpom",B7,IF(Bracket!$I$1="PVA",C7,IF(Bracket!$I$1="Sagarin Predictor",D7,IF(Bracket!$I$1="No Preseason",AVERAGE(B7:D7),"")))))</f>
        <v>89.5811248580317</v>
      </c>
      <c r="H7" s="63">
        <f t="shared" ca="1" si="0"/>
        <v>8</v>
      </c>
      <c r="I7" s="52"/>
      <c r="J7" s="52"/>
      <c r="K7" s="52"/>
    </row>
    <row r="8" spans="1:11" ht="16.2" x14ac:dyDescent="0.3">
      <c r="A8" s="52" t="str">
        <f>'Raw Data'!A8</f>
        <v>Louisville</v>
      </c>
      <c r="B8" s="52">
        <f ca="1">'Raw Data'!B8*($K$2/_xlfn.STDEV.P('Raw Data'!B$2:'Raw Data'!B$352)) + ($J$2-($K$2/_xlfn.STDEV.P('Raw Data'!B$2:'Raw Data'!B$352))*AVERAGE('Raw Data'!B$2:'Raw Data'!B$352))</f>
        <v>87.378352450941847</v>
      </c>
      <c r="C8" s="52">
        <f ca="1">'Raw Data'!C8*($K$2/_xlfn.STDEV.P('Raw Data'!C$2:'Raw Data'!C$352)) + ($J$2-($K$2/_xlfn.STDEV.P('Raw Data'!C$2:'Raw Data'!C$352))*AVERAGE('Raw Data'!C$2:'Raw Data'!C$352))</f>
        <v>89.996266716262596</v>
      </c>
      <c r="D8" s="52">
        <f ca="1">'Raw Data'!D8*($K$2/_xlfn.STDEV.P('Raw Data'!D$2:'Raw Data'!D$352)) + ($J$2-($K$2/_xlfn.STDEV.P('Raw Data'!D$2:'Raw Data'!D$352))*AVERAGE('Raw Data'!D$2:'Raw Data'!D$352))</f>
        <v>90.86</v>
      </c>
      <c r="E8" s="52">
        <f ca="1">IFERROR($J$4+('Raw Data'!H8-MIN('Raw Data'!H$2:'Raw Data'!H$352))*($J$3-$J$4)/(MAX('Raw Data'!H$2:'Raw Data'!H$352)-MIN('Raw Data'!H$2:'Raw Data'!H$352)),"")</f>
        <v>82.613354632587857</v>
      </c>
      <c r="F8" s="52">
        <f ca="1">IFERROR($J$4+('Raw Data'!I8-MIN('Raw Data'!I$2:'Raw Data'!I$352))*($J$3-$J$4)/(MAX('Raw Data'!I$2:'Raw Data'!I$352)-MIN('Raw Data'!I$2:'Raw Data'!I$352)),"")</f>
        <v>83.607593582887702</v>
      </c>
      <c r="G8" s="52">
        <f ca="1">IF(Bracket!$I$1="Composite",AVERAGE(B8:F8),IF(Bracket!$I$1="Kenpom",B8,IF(Bracket!$I$1="PVA",C8,IF(Bracket!$I$1="Sagarin Predictor",D8,IF(Bracket!$I$1="No Preseason",AVERAGE(B8:D8),"")))))</f>
        <v>86.891113476536006</v>
      </c>
      <c r="H8" s="63">
        <f t="shared" ca="1" si="0"/>
        <v>18</v>
      </c>
      <c r="I8" s="51" t="s">
        <v>384</v>
      </c>
      <c r="J8" s="52">
        <v>2.8166432145091E-2</v>
      </c>
      <c r="K8" s="52"/>
    </row>
    <row r="9" spans="1:11" ht="16.2" x14ac:dyDescent="0.3">
      <c r="A9" s="52" t="str">
        <f>'Raw Data'!A9</f>
        <v>Wichita St</v>
      </c>
      <c r="B9" s="52">
        <f ca="1">'Raw Data'!B9*($K$2/_xlfn.STDEV.P('Raw Data'!B$2:'Raw Data'!B$352)) + ($J$2-($K$2/_xlfn.STDEV.P('Raw Data'!B$2:'Raw Data'!B$352))*AVERAGE('Raw Data'!B$2:'Raw Data'!B$352))</f>
        <v>88.012003393898141</v>
      </c>
      <c r="C9" s="52">
        <f ca="1">'Raw Data'!C9*($K$2/_xlfn.STDEV.P('Raw Data'!C$2:'Raw Data'!C$352)) + ($J$2-($K$2/_xlfn.STDEV.P('Raw Data'!C$2:'Raw Data'!C$352))*AVERAGE('Raw Data'!C$2:'Raw Data'!C$352))</f>
        <v>85.860510163822937</v>
      </c>
      <c r="D9" s="52">
        <f ca="1">'Raw Data'!D9*($K$2/_xlfn.STDEV.P('Raw Data'!D$2:'Raw Data'!D$352)) + ($J$2-($K$2/_xlfn.STDEV.P('Raw Data'!D$2:'Raw Data'!D$352))*AVERAGE('Raw Data'!D$2:'Raw Data'!D$352))</f>
        <v>88.34</v>
      </c>
      <c r="E9" s="52">
        <f ca="1">IFERROR($J$4+('Raw Data'!H9-MIN('Raw Data'!H$2:'Raw Data'!H$352))*($J$3-$J$4)/(MAX('Raw Data'!H$2:'Raw Data'!H$352)-MIN('Raw Data'!H$2:'Raw Data'!H$352)),"")</f>
        <v>89.260191693290736</v>
      </c>
      <c r="F9" s="52">
        <f ca="1">IFERROR($J$4+('Raw Data'!I9-MIN('Raw Data'!I$2:'Raw Data'!I$352))*($J$3-$J$4)/(MAX('Raw Data'!I$2:'Raw Data'!I$352)-MIN('Raw Data'!I$2:'Raw Data'!I$352)),"")</f>
        <v>88.797967914438502</v>
      </c>
      <c r="G9" s="52">
        <f ca="1">IF(Bracket!$I$1="Composite",AVERAGE(B9:F9),IF(Bracket!$I$1="Kenpom",B9,IF(Bracket!$I$1="PVA",C9,IF(Bracket!$I$1="Sagarin Predictor",D9,IF(Bracket!$I$1="No Preseason",AVERAGE(B9:D9),"")))))</f>
        <v>88.054134633090058</v>
      </c>
      <c r="H9" s="63">
        <f t="shared" ca="1" si="0"/>
        <v>13</v>
      </c>
      <c r="I9" s="61" t="s">
        <v>385</v>
      </c>
      <c r="J9" s="62">
        <v>0.99990000000000001</v>
      </c>
      <c r="K9" s="52"/>
    </row>
    <row r="10" spans="1:11" x14ac:dyDescent="0.3">
      <c r="A10" s="52" t="str">
        <f>'Raw Data'!A10</f>
        <v>West Virginia</v>
      </c>
      <c r="B10" s="52">
        <f ca="1">'Raw Data'!B10*($K$2/_xlfn.STDEV.P('Raw Data'!B$2:'Raw Data'!B$352)) + ($J$2-($K$2/_xlfn.STDEV.P('Raw Data'!B$2:'Raw Data'!B$352))*AVERAGE('Raw Data'!B$2:'Raw Data'!B$352))</f>
        <v>87.521678259467677</v>
      </c>
      <c r="C10" s="52">
        <f ca="1">'Raw Data'!C10*($K$2/_xlfn.STDEV.P('Raw Data'!C$2:'Raw Data'!C$352)) + ($J$2-($K$2/_xlfn.STDEV.P('Raw Data'!C$2:'Raw Data'!C$352))*AVERAGE('Raw Data'!C$2:'Raw Data'!C$352))</f>
        <v>90.383993893053827</v>
      </c>
      <c r="D10" s="52">
        <f ca="1">'Raw Data'!D10*($K$2/_xlfn.STDEV.P('Raw Data'!D$2:'Raw Data'!D$352)) + ($J$2-($K$2/_xlfn.STDEV.P('Raw Data'!D$2:'Raw Data'!D$352))*AVERAGE('Raw Data'!D$2:'Raw Data'!D$352))</f>
        <v>91.01</v>
      </c>
      <c r="E10" s="52">
        <f ca="1">IFERROR($J$4+('Raw Data'!H10-MIN('Raw Data'!H$2:'Raw Data'!H$352))*($J$3-$J$4)/(MAX('Raw Data'!H$2:'Raw Data'!H$352)-MIN('Raw Data'!H$2:'Raw Data'!H$352)),"")</f>
        <v>82.869520766773164</v>
      </c>
      <c r="F10" s="52">
        <f ca="1">IFERROR($J$4+('Raw Data'!I10-MIN('Raw Data'!I$2:'Raw Data'!I$352))*($J$3-$J$4)/(MAX('Raw Data'!I$2:'Raw Data'!I$352)-MIN('Raw Data'!I$2:'Raw Data'!I$352)),"")</f>
        <v>84.058930481283426</v>
      </c>
      <c r="G10" s="52">
        <f ca="1">IF(Bracket!$I$1="Composite",AVERAGE(B10:F10),IF(Bracket!$I$1="Kenpom",B10,IF(Bracket!$I$1="PVA",C10,IF(Bracket!$I$1="Sagarin Predictor",D10,IF(Bracket!$I$1="No Preseason",AVERAGE(B10:D10),"")))))</f>
        <v>87.16882468011562</v>
      </c>
      <c r="H10" s="63">
        <f t="shared" ca="1" si="0"/>
        <v>16</v>
      </c>
      <c r="I10" s="52"/>
      <c r="J10" s="52"/>
      <c r="K10" s="52"/>
    </row>
    <row r="11" spans="1:11" x14ac:dyDescent="0.3">
      <c r="A11" s="52" t="str">
        <f>'Raw Data'!A11</f>
        <v>Kentucky</v>
      </c>
      <c r="B11" s="52">
        <f ca="1">'Raw Data'!B11*($K$2/_xlfn.STDEV.P('Raw Data'!B$2:'Raw Data'!B$352)) + ($J$2-($K$2/_xlfn.STDEV.P('Raw Data'!B$2:'Raw Data'!B$352))*AVERAGE('Raw Data'!B$2:'Raw Data'!B$352))</f>
        <v>88.136470543407427</v>
      </c>
      <c r="C11" s="52">
        <f ca="1">'Raw Data'!C11*($K$2/_xlfn.STDEV.P('Raw Data'!C$2:'Raw Data'!C$352)) + ($J$2-($K$2/_xlfn.STDEV.P('Raw Data'!C$2:'Raw Data'!C$352))*AVERAGE('Raw Data'!C$2:'Raw Data'!C$352))</f>
        <v>89.608539539471394</v>
      </c>
      <c r="D11" s="52">
        <f ca="1">'Raw Data'!D11*($K$2/_xlfn.STDEV.P('Raw Data'!D$2:'Raw Data'!D$352)) + ($J$2-($K$2/_xlfn.STDEV.P('Raw Data'!D$2:'Raw Data'!D$352))*AVERAGE('Raw Data'!D$2:'Raw Data'!D$352))</f>
        <v>90.43</v>
      </c>
      <c r="E11" s="52">
        <f ca="1">IFERROR($J$4+('Raw Data'!H11-MIN('Raw Data'!H$2:'Raw Data'!H$352))*($J$3-$J$4)/(MAX('Raw Data'!H$2:'Raw Data'!H$352)-MIN('Raw Data'!H$2:'Raw Data'!H$352)),"")</f>
        <v>92.549904153354632</v>
      </c>
      <c r="F11" s="52">
        <f ca="1">IFERROR($J$4+('Raw Data'!I11-MIN('Raw Data'!I$2:'Raw Data'!I$352))*($J$3-$J$4)/(MAX('Raw Data'!I$2:'Raw Data'!I$352)-MIN('Raw Data'!I$2:'Raw Data'!I$352)),"")</f>
        <v>92.86</v>
      </c>
      <c r="G11" s="52">
        <f ca="1">IF(Bracket!$I$1="Composite",AVERAGE(B11:F11),IF(Bracket!$I$1="Kenpom",B11,IF(Bracket!$I$1="PVA",C11,IF(Bracket!$I$1="Sagarin Predictor",D11,IF(Bracket!$I$1="No Preseason",AVERAGE(B11:D11),"")))))</f>
        <v>90.716982847246697</v>
      </c>
      <c r="H11" s="63">
        <f t="shared" ca="1" si="0"/>
        <v>4</v>
      </c>
      <c r="I11" s="52"/>
      <c r="J11" s="52"/>
      <c r="K11" s="52"/>
    </row>
    <row r="12" spans="1:11" x14ac:dyDescent="0.3">
      <c r="A12" s="52" t="str">
        <f>'Raw Data'!A12</f>
        <v>Duke</v>
      </c>
      <c r="B12" s="52">
        <f ca="1">'Raw Data'!B12*($K$2/_xlfn.STDEV.P('Raw Data'!B$2:'Raw Data'!B$352)) + ($J$2-($K$2/_xlfn.STDEV.P('Raw Data'!B$2:'Raw Data'!B$352))*AVERAGE('Raw Data'!B$2:'Raw Data'!B$352))</f>
        <v>86.375071791261036</v>
      </c>
      <c r="C12" s="52">
        <f ca="1">'Raw Data'!C12*($K$2/_xlfn.STDEV.P('Raw Data'!C$2:'Raw Data'!C$352)) + ($J$2-($K$2/_xlfn.STDEV.P('Raw Data'!C$2:'Raw Data'!C$352))*AVERAGE('Raw Data'!C$2:'Raw Data'!C$352))</f>
        <v>89.479297147207646</v>
      </c>
      <c r="D12" s="52">
        <f ca="1">'Raw Data'!D12*($K$2/_xlfn.STDEV.P('Raw Data'!D$2:'Raw Data'!D$352)) + ($J$2-($K$2/_xlfn.STDEV.P('Raw Data'!D$2:'Raw Data'!D$352))*AVERAGE('Raw Data'!D$2:'Raw Data'!D$352))</f>
        <v>88.97</v>
      </c>
      <c r="E12" s="52">
        <f ca="1">IFERROR($J$4+('Raw Data'!H12-MIN('Raw Data'!H$2:'Raw Data'!H$352))*($J$3-$J$4)/(MAX('Raw Data'!H$2:'Raw Data'!H$352)-MIN('Raw Data'!H$2:'Raw Data'!H$352)),"")</f>
        <v>91.403897763578271</v>
      </c>
      <c r="F12" s="52">
        <f ca="1">IFERROR($J$4+('Raw Data'!I12-MIN('Raw Data'!I$2:'Raw Data'!I$352))*($J$3-$J$4)/(MAX('Raw Data'!I$2:'Raw Data'!I$352)-MIN('Raw Data'!I$2:'Raw Data'!I$352)),"")</f>
        <v>91.97143048128342</v>
      </c>
      <c r="G12" s="52">
        <f ca="1">IF(Bracket!$I$1="Composite",AVERAGE(B12:F12),IF(Bracket!$I$1="Kenpom",B12,IF(Bracket!$I$1="PVA",C12,IF(Bracket!$I$1="Sagarin Predictor",D12,IF(Bracket!$I$1="No Preseason",AVERAGE(B12:D12),"")))))</f>
        <v>89.639939436666054</v>
      </c>
      <c r="H12" s="63">
        <f t="shared" ca="1" si="0"/>
        <v>7</v>
      </c>
      <c r="I12" s="52"/>
      <c r="J12" s="52"/>
      <c r="K12" s="52"/>
    </row>
    <row r="13" spans="1:11" x14ac:dyDescent="0.3">
      <c r="A13" s="52" t="str">
        <f>'Raw Data'!A13</f>
        <v>Xavier</v>
      </c>
      <c r="B13" s="52">
        <f ca="1">'Raw Data'!B13*($K$2/_xlfn.STDEV.P('Raw Data'!B$2:'Raw Data'!B$352)) + ($J$2-($K$2/_xlfn.STDEV.P('Raw Data'!B$2:'Raw Data'!B$352))*AVERAGE('Raw Data'!B$2:'Raw Data'!B$352))</f>
        <v>87.201081056186212</v>
      </c>
      <c r="C13" s="52">
        <f ca="1">'Raw Data'!C13*($K$2/_xlfn.STDEV.P('Raw Data'!C$2:'Raw Data'!C$352)) + ($J$2-($K$2/_xlfn.STDEV.P('Raw Data'!C$2:'Raw Data'!C$352))*AVERAGE('Raw Data'!C$2:'Raw Data'!C$352))</f>
        <v>89.09156997041643</v>
      </c>
      <c r="D13" s="52">
        <f ca="1">'Raw Data'!D13*($K$2/_xlfn.STDEV.P('Raw Data'!D$2:'Raw Data'!D$352)) + ($J$2-($K$2/_xlfn.STDEV.P('Raw Data'!D$2:'Raw Data'!D$352))*AVERAGE('Raw Data'!D$2:'Raw Data'!D$352))</f>
        <v>88.19</v>
      </c>
      <c r="E13" s="52">
        <f ca="1">IFERROR($J$4+('Raw Data'!H13-MIN('Raw Data'!H$2:'Raw Data'!H$352))*($J$3-$J$4)/(MAX('Raw Data'!H$2:'Raw Data'!H$352)-MIN('Raw Data'!H$2:'Raw Data'!H$352)),"")</f>
        <v>82.384153354632588</v>
      </c>
      <c r="F13" s="52">
        <f ca="1">IFERROR($J$4+('Raw Data'!I13-MIN('Raw Data'!I$2:'Raw Data'!I$352))*($J$3-$J$4)/(MAX('Raw Data'!I$2:'Raw Data'!I$352)-MIN('Raw Data'!I$2:'Raw Data'!I$352)),"")</f>
        <v>82.648502673796798</v>
      </c>
      <c r="G13" s="52">
        <f ca="1">IF(Bracket!$I$1="Composite",AVERAGE(B13:F13),IF(Bracket!$I$1="Kenpom",B13,IF(Bracket!$I$1="PVA",C13,IF(Bracket!$I$1="Sagarin Predictor",D13,IF(Bracket!$I$1="No Preseason",AVERAGE(B13:D13),"")))))</f>
        <v>85.903061411006405</v>
      </c>
      <c r="H13" s="63">
        <f t="shared" ca="1" si="0"/>
        <v>23</v>
      </c>
      <c r="I13" s="52"/>
      <c r="J13" s="52"/>
      <c r="K13" s="52"/>
    </row>
    <row r="14" spans="1:11" x14ac:dyDescent="0.3">
      <c r="A14" s="52" t="str">
        <f>'Raw Data'!A14</f>
        <v>Miami</v>
      </c>
      <c r="B14" s="52">
        <f ca="1">'Raw Data'!B14*($K$2/_xlfn.STDEV.P('Raw Data'!B$2:'Raw Data'!B$352)) + ($J$2-($K$2/_xlfn.STDEV.P('Raw Data'!B$2:'Raw Data'!B$352))*AVERAGE('Raw Data'!B$2:'Raw Data'!B$352))</f>
        <v>87.091700833890187</v>
      </c>
      <c r="C14" s="52">
        <f ca="1">'Raw Data'!C14*($K$2/_xlfn.STDEV.P('Raw Data'!C$2:'Raw Data'!C$352)) + ($J$2-($K$2/_xlfn.STDEV.P('Raw Data'!C$2:'Raw Data'!C$352))*AVERAGE('Raw Data'!C$2:'Raw Data'!C$352))</f>
        <v>88.703842793625199</v>
      </c>
      <c r="D14" s="52">
        <f ca="1">'Raw Data'!D14*($K$2/_xlfn.STDEV.P('Raw Data'!D$2:'Raw Data'!D$352)) + ($J$2-($K$2/_xlfn.STDEV.P('Raw Data'!D$2:'Raw Data'!D$352))*AVERAGE('Raw Data'!D$2:'Raw Data'!D$352))</f>
        <v>88.44</v>
      </c>
      <c r="E14" s="52" t="str">
        <f ca="1">IFERROR($J$4+('Raw Data'!H14-MIN('Raw Data'!H$2:'Raw Data'!H$352))*($J$3-$J$4)/(MAX('Raw Data'!H$2:'Raw Data'!H$352)-MIN('Raw Data'!H$2:'Raw Data'!H$352)),"")</f>
        <v/>
      </c>
      <c r="F14" s="52" t="str">
        <f ca="1">IFERROR($J$4+('Raw Data'!I14-MIN('Raw Data'!I$2:'Raw Data'!I$352))*($J$3-$J$4)/(MAX('Raw Data'!I$2:'Raw Data'!I$352)-MIN('Raw Data'!I$2:'Raw Data'!I$352)),"")</f>
        <v/>
      </c>
      <c r="G14" s="52">
        <f ca="1">IF(Bracket!$I$1="Composite",AVERAGE(B14:F14),IF(Bracket!$I$1="Kenpom",B14,IF(Bracket!$I$1="PVA",C14,IF(Bracket!$I$1="Sagarin Predictor",D14,IF(Bracket!$I$1="No Preseason",AVERAGE(B14:D14),"")))))</f>
        <v>88.078514542505118</v>
      </c>
      <c r="H14" s="63">
        <f t="shared" ca="1" si="0"/>
        <v>12</v>
      </c>
      <c r="I14" s="52"/>
      <c r="J14" s="52"/>
      <c r="K14" s="52"/>
    </row>
    <row r="15" spans="1:11" x14ac:dyDescent="0.3">
      <c r="A15" s="52" t="str">
        <f>'Raw Data'!A15</f>
        <v>Iowa</v>
      </c>
      <c r="B15" s="52">
        <f ca="1">'Raw Data'!B15*($K$2/_xlfn.STDEV.P('Raw Data'!B$2:'Raw Data'!B$352)) + ($J$2-($K$2/_xlfn.STDEV.P('Raw Data'!B$2:'Raw Data'!B$352))*AVERAGE('Raw Data'!B$2:'Raw Data'!B$352))</f>
        <v>86.22043078732527</v>
      </c>
      <c r="C15" s="52">
        <f ca="1">'Raw Data'!C15*($K$2/_xlfn.STDEV.P('Raw Data'!C$2:'Raw Data'!C$352)) + ($J$2-($K$2/_xlfn.STDEV.P('Raw Data'!C$2:'Raw Data'!C$352))*AVERAGE('Raw Data'!C$2:'Raw Data'!C$352))</f>
        <v>86.894449301932852</v>
      </c>
      <c r="D15" s="52">
        <f ca="1">'Raw Data'!D15*($K$2/_xlfn.STDEV.P('Raw Data'!D$2:'Raw Data'!D$352)) + ($J$2-($K$2/_xlfn.STDEV.P('Raw Data'!D$2:'Raw Data'!D$352))*AVERAGE('Raw Data'!D$2:'Raw Data'!D$352))</f>
        <v>87.58</v>
      </c>
      <c r="E15" s="52">
        <f ca="1">IFERROR($J$4+('Raw Data'!H15-MIN('Raw Data'!H$2:'Raw Data'!H$352))*($J$3-$J$4)/(MAX('Raw Data'!H$2:'Raw Data'!H$352)-MIN('Raw Data'!H$2:'Raw Data'!H$352)),"")</f>
        <v>82.343706070287539</v>
      </c>
      <c r="F15" s="52">
        <f ca="1">IFERROR($J$4+('Raw Data'!I15-MIN('Raw Data'!I$2:'Raw Data'!I$352))*($J$3-$J$4)/(MAX('Raw Data'!I$2:'Raw Data'!I$352)-MIN('Raw Data'!I$2:'Raw Data'!I$352)),"")</f>
        <v>82.408729946524062</v>
      </c>
      <c r="G15" s="52">
        <f ca="1">IF(Bracket!$I$1="Composite",AVERAGE(B15:F15),IF(Bracket!$I$1="Kenpom",B15,IF(Bracket!$I$1="PVA",C15,IF(Bracket!$I$1="Sagarin Predictor",D15,IF(Bracket!$I$1="No Preseason",AVERAGE(B15:D15),"")))))</f>
        <v>85.089463221213947</v>
      </c>
      <c r="H15" s="63">
        <f t="shared" ca="1" si="0"/>
        <v>28</v>
      </c>
      <c r="I15" s="52"/>
      <c r="J15" s="52"/>
      <c r="K15" s="52"/>
    </row>
    <row r="16" spans="1:11" x14ac:dyDescent="0.3">
      <c r="A16" s="52" t="str">
        <f>'Raw Data'!A16</f>
        <v>Indiana</v>
      </c>
      <c r="B16" s="52">
        <f ca="1">'Raw Data'!B16*($K$2/_xlfn.STDEV.P('Raw Data'!B$2:'Raw Data'!B$352)) + ($J$2-($K$2/_xlfn.STDEV.P('Raw Data'!B$2:'Raw Data'!B$352))*AVERAGE('Raw Data'!B$2:'Raw Data'!B$352))</f>
        <v>87.110559492906745</v>
      </c>
      <c r="C16" s="52">
        <f ca="1">'Raw Data'!C16*($K$2/_xlfn.STDEV.P('Raw Data'!C$2:'Raw Data'!C$352)) + ($J$2-($K$2/_xlfn.STDEV.P('Raw Data'!C$2:'Raw Data'!C$352))*AVERAGE('Raw Data'!C$2:'Raw Data'!C$352))</f>
        <v>87.54066126325155</v>
      </c>
      <c r="D16" s="52">
        <f ca="1">'Raw Data'!D16*($K$2/_xlfn.STDEV.P('Raw Data'!D$2:'Raw Data'!D$352)) + ($J$2-($K$2/_xlfn.STDEV.P('Raw Data'!D$2:'Raw Data'!D$352))*AVERAGE('Raw Data'!D$2:'Raw Data'!D$352))</f>
        <v>89.52</v>
      </c>
      <c r="E16" s="52">
        <f ca="1">IFERROR($J$4+('Raw Data'!H16-MIN('Raw Data'!H$2:'Raw Data'!H$352))*($J$3-$J$4)/(MAX('Raw Data'!H$2:'Raw Data'!H$352)-MIN('Raw Data'!H$2:'Raw Data'!H$352)),"")</f>
        <v>87.392875399361017</v>
      </c>
      <c r="F16" s="52">
        <f ca="1">IFERROR($J$4+('Raw Data'!I16-MIN('Raw Data'!I$2:'Raw Data'!I$352))*($J$3-$J$4)/(MAX('Raw Data'!I$2:'Raw Data'!I$352)-MIN('Raw Data'!I$2:'Raw Data'!I$352)),"")</f>
        <v>86.696430481283429</v>
      </c>
      <c r="G16" s="52">
        <f ca="1">IF(Bracket!$I$1="Composite",AVERAGE(B16:F16),IF(Bracket!$I$1="Kenpom",B16,IF(Bracket!$I$1="PVA",C16,IF(Bracket!$I$1="Sagarin Predictor",D16,IF(Bracket!$I$1="No Preseason",AVERAGE(B16:D16),"")))))</f>
        <v>87.652105327360545</v>
      </c>
      <c r="H16" s="63">
        <f t="shared" ca="1" si="0"/>
        <v>14</v>
      </c>
      <c r="I16" s="52"/>
      <c r="J16" s="52"/>
      <c r="K16" s="52"/>
    </row>
    <row r="17" spans="1:11" x14ac:dyDescent="0.3">
      <c r="A17" s="52" t="str">
        <f>'Raw Data'!A17</f>
        <v>Arizona</v>
      </c>
      <c r="B17" s="52">
        <f ca="1">'Raw Data'!B17*($K$2/_xlfn.STDEV.P('Raw Data'!B$2:'Raw Data'!B$352)) + ($J$2-($K$2/_xlfn.STDEV.P('Raw Data'!B$2:'Raw Data'!B$352))*AVERAGE('Raw Data'!B$2:'Raw Data'!B$352))</f>
        <v>86.488223745360372</v>
      </c>
      <c r="C17" s="52">
        <f ca="1">'Raw Data'!C17*($K$2/_xlfn.STDEV.P('Raw Data'!C$2:'Raw Data'!C$352)) + ($J$2-($K$2/_xlfn.STDEV.P('Raw Data'!C$2:'Raw Data'!C$352))*AVERAGE('Raw Data'!C$2:'Raw Data'!C$352))</f>
        <v>89.220812362680164</v>
      </c>
      <c r="D17" s="52">
        <f ca="1">'Raw Data'!D17*($K$2/_xlfn.STDEV.P('Raw Data'!D$2:'Raw Data'!D$352)) + ($J$2-($K$2/_xlfn.STDEV.P('Raw Data'!D$2:'Raw Data'!D$352))*AVERAGE('Raw Data'!D$2:'Raw Data'!D$352))</f>
        <v>88.53</v>
      </c>
      <c r="E17" s="52">
        <f ca="1">IFERROR($J$4+('Raw Data'!H17-MIN('Raw Data'!H$2:'Raw Data'!H$352))*($J$3-$J$4)/(MAX('Raw Data'!H$2:'Raw Data'!H$352)-MIN('Raw Data'!H$2:'Raw Data'!H$352)),"")</f>
        <v>88.484952076677317</v>
      </c>
      <c r="F17" s="52">
        <f ca="1">IFERROR($J$4+('Raw Data'!I17-MIN('Raw Data'!I$2:'Raw Data'!I$352))*($J$3-$J$4)/(MAX('Raw Data'!I$2:'Raw Data'!I$352)-MIN('Raw Data'!I$2:'Raw Data'!I$352)),"")</f>
        <v>89.023636363636371</v>
      </c>
      <c r="G17" s="52">
        <f ca="1">IF(Bracket!$I$1="Composite",AVERAGE(B17:F17),IF(Bracket!$I$1="Kenpom",B17,IF(Bracket!$I$1="PVA",C17,IF(Bracket!$I$1="Sagarin Predictor",D17,IF(Bracket!$I$1="No Preseason",AVERAGE(B17:D17),"")))))</f>
        <v>88.349524909670848</v>
      </c>
      <c r="H17" s="63">
        <f t="shared" ca="1" si="0"/>
        <v>11</v>
      </c>
      <c r="I17" s="52"/>
      <c r="J17" s="52"/>
      <c r="K17" s="52"/>
    </row>
    <row r="18" spans="1:11" x14ac:dyDescent="0.3">
      <c r="A18" s="52" t="str">
        <f>'Raw Data'!A18</f>
        <v>Iowa State</v>
      </c>
      <c r="B18" s="52">
        <f ca="1">'Raw Data'!B18*($K$2/_xlfn.STDEV.P('Raw Data'!B$2:'Raw Data'!B$352)) + ($J$2-($K$2/_xlfn.STDEV.P('Raw Data'!B$2:'Raw Data'!B$352))*AVERAGE('Raw Data'!B$2:'Raw Data'!B$352))</f>
        <v>86.669266871919319</v>
      </c>
      <c r="C18" s="52">
        <f ca="1">'Raw Data'!C18*($K$2/_xlfn.STDEV.P('Raw Data'!C$2:'Raw Data'!C$352)) + ($J$2-($K$2/_xlfn.STDEV.P('Raw Data'!C$2:'Raw Data'!C$352))*AVERAGE('Raw Data'!C$2:'Raw Data'!C$352))</f>
        <v>88.186873224570249</v>
      </c>
      <c r="D18" s="52">
        <f ca="1">'Raw Data'!D18*($K$2/_xlfn.STDEV.P('Raw Data'!D$2:'Raw Data'!D$352)) + ($J$2-($K$2/_xlfn.STDEV.P('Raw Data'!D$2:'Raw Data'!D$352))*AVERAGE('Raw Data'!D$2:'Raw Data'!D$352))</f>
        <v>86.9</v>
      </c>
      <c r="E18" s="52">
        <f ca="1">IFERROR($J$4+('Raw Data'!H18-MIN('Raw Data'!H$2:'Raw Data'!H$352))*($J$3-$J$4)/(MAX('Raw Data'!H$2:'Raw Data'!H$352)-MIN('Raw Data'!H$2:'Raw Data'!H$352)),"")</f>
        <v>90.291597444089462</v>
      </c>
      <c r="F18" s="52">
        <f ca="1">IFERROR($J$4+('Raw Data'!I18-MIN('Raw Data'!I$2:'Raw Data'!I$352))*($J$3-$J$4)/(MAX('Raw Data'!I$2:'Raw Data'!I$352)-MIN('Raw Data'!I$2:'Raw Data'!I$352)),"")</f>
        <v>89.926310160427803</v>
      </c>
      <c r="G18" s="52">
        <f ca="1">IF(Bracket!$I$1="Composite",AVERAGE(B18:F18),IF(Bracket!$I$1="Kenpom",B18,IF(Bracket!$I$1="PVA",C18,IF(Bracket!$I$1="Sagarin Predictor",D18,IF(Bracket!$I$1="No Preseason",AVERAGE(B18:D18),"")))))</f>
        <v>88.394809540201379</v>
      </c>
      <c r="H18" s="63">
        <f t="shared" ca="1" si="0"/>
        <v>10</v>
      </c>
      <c r="I18" s="52"/>
      <c r="J18" s="52"/>
      <c r="K18" s="52"/>
    </row>
    <row r="19" spans="1:11" x14ac:dyDescent="0.3">
      <c r="A19" s="52" t="str">
        <f>'Raw Data'!A19</f>
        <v>Purdue</v>
      </c>
      <c r="B19" s="52">
        <f ca="1">'Raw Data'!B19*($K$2/_xlfn.STDEV.P('Raw Data'!B$2:'Raw Data'!B$352)) + ($J$2-($K$2/_xlfn.STDEV.P('Raw Data'!B$2:'Raw Data'!B$352))*AVERAGE('Raw Data'!B$2:'Raw Data'!B$352))</f>
        <v>87.163363738153095</v>
      </c>
      <c r="C19" s="52">
        <f ca="1">'Raw Data'!C19*($K$2/_xlfn.STDEV.P('Raw Data'!C$2:'Raw Data'!C$352)) + ($J$2-($K$2/_xlfn.STDEV.P('Raw Data'!C$2:'Raw Data'!C$352))*AVERAGE('Raw Data'!C$2:'Raw Data'!C$352))</f>
        <v>89.350054754943898</v>
      </c>
      <c r="D19" s="52">
        <f ca="1">'Raw Data'!D19*($K$2/_xlfn.STDEV.P('Raw Data'!D$2:'Raw Data'!D$352)) + ($J$2-($K$2/_xlfn.STDEV.P('Raw Data'!D$2:'Raw Data'!D$352))*AVERAGE('Raw Data'!D$2:'Raw Data'!D$352))</f>
        <v>90.15</v>
      </c>
      <c r="E19" s="52">
        <f ca="1">IFERROR($J$4+('Raw Data'!H19-MIN('Raw Data'!H$2:'Raw Data'!H$352))*($J$3-$J$4)/(MAX('Raw Data'!H$2:'Raw Data'!H$352)-MIN('Raw Data'!H$2:'Raw Data'!H$352)),"")</f>
        <v>83.894185303514377</v>
      </c>
      <c r="F19" s="52">
        <f ca="1">IFERROR($J$4+('Raw Data'!I19-MIN('Raw Data'!I$2:'Raw Data'!I$352))*($J$3-$J$4)/(MAX('Raw Data'!I$2:'Raw Data'!I$352)-MIN('Raw Data'!I$2:'Raw Data'!I$352)),"")</f>
        <v>83.847366310160425</v>
      </c>
      <c r="G19" s="52">
        <f ca="1">IF(Bracket!$I$1="Composite",AVERAGE(B19:F19),IF(Bracket!$I$1="Kenpom",B19,IF(Bracket!$I$1="PVA",C19,IF(Bracket!$I$1="Sagarin Predictor",D19,IF(Bracket!$I$1="No Preseason",AVERAGE(B19:D19),"")))))</f>
        <v>86.880994021354354</v>
      </c>
      <c r="H19" s="63">
        <f t="shared" ca="1" si="0"/>
        <v>19</v>
      </c>
      <c r="I19" s="52"/>
      <c r="J19" s="52"/>
      <c r="K19" s="52"/>
    </row>
    <row r="20" spans="1:11" x14ac:dyDescent="0.3">
      <c r="A20" s="52" t="str">
        <f>'Raw Data'!A20</f>
        <v>Oregon</v>
      </c>
      <c r="B20" s="52">
        <f ca="1">'Raw Data'!B20*($K$2/_xlfn.STDEV.P('Raw Data'!B$2:'Raw Data'!B$352)) + ($J$2-($K$2/_xlfn.STDEV.P('Raw Data'!B$2:'Raw Data'!B$352))*AVERAGE('Raw Data'!B$2:'Raw Data'!B$352))</f>
        <v>87.600884627337223</v>
      </c>
      <c r="C20" s="52">
        <f ca="1">'Raw Data'!C20*($K$2/_xlfn.STDEV.P('Raw Data'!C$2:'Raw Data'!C$352)) + ($J$2-($K$2/_xlfn.STDEV.P('Raw Data'!C$2:'Raw Data'!C$352))*AVERAGE('Raw Data'!C$2:'Raw Data'!C$352))</f>
        <v>88.574600401361465</v>
      </c>
      <c r="D20" s="52">
        <f ca="1">'Raw Data'!D20*($K$2/_xlfn.STDEV.P('Raw Data'!D$2:'Raw Data'!D$352)) + ($J$2-($K$2/_xlfn.STDEV.P('Raw Data'!D$2:'Raw Data'!D$352))*AVERAGE('Raw Data'!D$2:'Raw Data'!D$352))</f>
        <v>87.8</v>
      </c>
      <c r="E20" s="52">
        <f ca="1">IFERROR($J$4+('Raw Data'!H20-MIN('Raw Data'!H$2:'Raw Data'!H$352))*($J$3-$J$4)/(MAX('Raw Data'!H$2:'Raw Data'!H$352)-MIN('Raw Data'!H$2:'Raw Data'!H$352)),"")</f>
        <v>83.085239616613421</v>
      </c>
      <c r="F20" s="52">
        <f ca="1">IFERROR($J$4+('Raw Data'!I20-MIN('Raw Data'!I$2:'Raw Data'!I$352))*($J$3-$J$4)/(MAX('Raw Data'!I$2:'Raw Data'!I$352)-MIN('Raw Data'!I$2:'Raw Data'!I$352)),"")</f>
        <v>82.761336898395726</v>
      </c>
      <c r="G20" s="52">
        <f ca="1">IF(Bracket!$I$1="Composite",AVERAGE(B20:F20),IF(Bracket!$I$1="Kenpom",B20,IF(Bracket!$I$1="PVA",C20,IF(Bracket!$I$1="Sagarin Predictor",D20,IF(Bracket!$I$1="No Preseason",AVERAGE(B20:D20),"")))))</f>
        <v>85.964412308741572</v>
      </c>
      <c r="H20" s="63">
        <f t="shared" ca="1" si="0"/>
        <v>22</v>
      </c>
      <c r="I20" s="52"/>
      <c r="J20" s="52"/>
      <c r="K20" s="52"/>
    </row>
    <row r="21" spans="1:11" x14ac:dyDescent="0.3">
      <c r="A21" s="52" t="str">
        <f>'Raw Data'!A21</f>
        <v>Maryland</v>
      </c>
      <c r="B21" s="52">
        <f ca="1">'Raw Data'!B21*($K$2/_xlfn.STDEV.P('Raw Data'!B$2:'Raw Data'!B$352)) + ($J$2-($K$2/_xlfn.STDEV.P('Raw Data'!B$2:'Raw Data'!B$352))*AVERAGE('Raw Data'!B$2:'Raw Data'!B$352))</f>
        <v>85.884746656830572</v>
      </c>
      <c r="C21" s="52">
        <f ca="1">'Raw Data'!C21*($K$2/_xlfn.STDEV.P('Raw Data'!C$2:'Raw Data'!C$352)) + ($J$2-($K$2/_xlfn.STDEV.P('Raw Data'!C$2:'Raw Data'!C$352))*AVERAGE('Raw Data'!C$2:'Raw Data'!C$352))</f>
        <v>87.282176478724068</v>
      </c>
      <c r="D21" s="52">
        <f ca="1">'Raw Data'!D21*($K$2/_xlfn.STDEV.P('Raw Data'!D$2:'Raw Data'!D$352)) + ($J$2-($K$2/_xlfn.STDEV.P('Raw Data'!D$2:'Raw Data'!D$352))*AVERAGE('Raw Data'!D$2:'Raw Data'!D$352))</f>
        <v>87.28</v>
      </c>
      <c r="E21" s="52">
        <f ca="1">IFERROR($J$4+('Raw Data'!H21-MIN('Raw Data'!H$2:'Raw Data'!H$352))*($J$3-$J$4)/(MAX('Raw Data'!H$2:'Raw Data'!H$352)-MIN('Raw Data'!H$2:'Raw Data'!H$352)),"")</f>
        <v>92.327444089456861</v>
      </c>
      <c r="F21" s="52">
        <f ca="1">IFERROR($J$4+('Raw Data'!I21-MIN('Raw Data'!I$2:'Raw Data'!I$352))*($J$3-$J$4)/(MAX('Raw Data'!I$2:'Raw Data'!I$352)-MIN('Raw Data'!I$2:'Raw Data'!I$352)),"")</f>
        <v>92.493288770053482</v>
      </c>
      <c r="G21" s="52">
        <f ca="1">IF(Bracket!$I$1="Composite",AVERAGE(B21:F21),IF(Bracket!$I$1="Kenpom",B21,IF(Bracket!$I$1="PVA",C21,IF(Bracket!$I$1="Sagarin Predictor",D21,IF(Bracket!$I$1="No Preseason",AVERAGE(B21:D21),"")))))</f>
        <v>89.053531199012994</v>
      </c>
      <c r="H21" s="63">
        <f t="shared" ca="1" si="0"/>
        <v>9</v>
      </c>
      <c r="I21" s="52"/>
      <c r="J21" s="52"/>
      <c r="K21" s="52"/>
    </row>
    <row r="22" spans="1:11" x14ac:dyDescent="0.3">
      <c r="A22" s="52" t="str">
        <f>'Raw Data'!A22</f>
        <v>SMU</v>
      </c>
      <c r="B22" s="52">
        <f ca="1">'Raw Data'!B22*($K$2/_xlfn.STDEV.P('Raw Data'!B$2:'Raw Data'!B$352)) + ($J$2-($K$2/_xlfn.STDEV.P('Raw Data'!B$2:'Raw Data'!B$352))*AVERAGE('Raw Data'!B$2:'Raw Data'!B$352))</f>
        <v>86.771103630608735</v>
      </c>
      <c r="C22" s="52">
        <f ca="1">'Raw Data'!C22*($K$2/_xlfn.STDEV.P('Raw Data'!C$2:'Raw Data'!C$352)) + ($J$2-($K$2/_xlfn.STDEV.P('Raw Data'!C$2:'Raw Data'!C$352))*AVERAGE('Raw Data'!C$2:'Raw Data'!C$352))</f>
        <v>89.608539539471394</v>
      </c>
      <c r="D22" s="52">
        <f ca="1">'Raw Data'!D22*($K$2/_xlfn.STDEV.P('Raw Data'!D$2:'Raw Data'!D$352)) + ($J$2-($K$2/_xlfn.STDEV.P('Raw Data'!D$2:'Raw Data'!D$352))*AVERAGE('Raw Data'!D$2:'Raw Data'!D$352))</f>
        <v>88.29</v>
      </c>
      <c r="E22" s="52">
        <f ca="1">IFERROR($J$4+('Raw Data'!H22-MIN('Raw Data'!H$2:'Raw Data'!H$352))*($J$3-$J$4)/(MAX('Raw Data'!H$2:'Raw Data'!H$352)-MIN('Raw Data'!H$2:'Raw Data'!H$352)),"")</f>
        <v>83.058274760383384</v>
      </c>
      <c r="F22" s="52" t="str">
        <f ca="1">IFERROR($J$4+('Raw Data'!I22-MIN('Raw Data'!I$2:'Raw Data'!I$352))*($J$3-$J$4)/(MAX('Raw Data'!I$2:'Raw Data'!I$352)-MIN('Raw Data'!I$2:'Raw Data'!I$352)),"")</f>
        <v/>
      </c>
      <c r="G22" s="52">
        <f ca="1">IF(Bracket!$I$1="Composite",AVERAGE(B22:F22),IF(Bracket!$I$1="Kenpom",B22,IF(Bracket!$I$1="PVA",C22,IF(Bracket!$I$1="Sagarin Predictor",D22,IF(Bracket!$I$1="No Preseason",AVERAGE(B22:D22),"")))))</f>
        <v>86.931979482615873</v>
      </c>
      <c r="H22" s="63">
        <f t="shared" ca="1" si="0"/>
        <v>17</v>
      </c>
      <c r="I22" s="52"/>
      <c r="J22" s="52"/>
      <c r="K22" s="52"/>
    </row>
    <row r="23" spans="1:11" x14ac:dyDescent="0.3">
      <c r="A23" s="52" t="str">
        <f>'Raw Data'!A23</f>
        <v>Vanderbilt</v>
      </c>
      <c r="B23" s="52">
        <f ca="1">'Raw Data'!B23*($K$2/_xlfn.STDEV.P('Raw Data'!B$2:'Raw Data'!B$352)) + ($J$2-($K$2/_xlfn.STDEV.P('Raw Data'!B$2:'Raw Data'!B$352))*AVERAGE('Raw Data'!B$2:'Raw Data'!B$352))</f>
        <v>85.285041300104069</v>
      </c>
      <c r="C23" s="52">
        <f ca="1">'Raw Data'!C23*($K$2/_xlfn.STDEV.P('Raw Data'!C$2:'Raw Data'!C$352)) + ($J$2-($K$2/_xlfn.STDEV.P('Raw Data'!C$2:'Raw Data'!C$352))*AVERAGE('Raw Data'!C$2:'Raw Data'!C$352))</f>
        <v>85.989752556086671</v>
      </c>
      <c r="D23" s="52">
        <f ca="1">'Raw Data'!D23*($K$2/_xlfn.STDEV.P('Raw Data'!D$2:'Raw Data'!D$352)) + ($J$2-($K$2/_xlfn.STDEV.P('Raw Data'!D$2:'Raw Data'!D$352))*AVERAGE('Raw Data'!D$2:'Raw Data'!D$352))</f>
        <v>87.32</v>
      </c>
      <c r="E23" s="52">
        <f ca="1">IFERROR($J$4+('Raw Data'!H23-MIN('Raw Data'!H$2:'Raw Data'!H$352))*($J$3-$J$4)/(MAX('Raw Data'!H$2:'Raw Data'!H$352)-MIN('Raw Data'!H$2:'Raw Data'!H$352)),"")</f>
        <v>84.952555910543126</v>
      </c>
      <c r="F23" s="52">
        <f ca="1">IFERROR($J$4+('Raw Data'!I23-MIN('Raw Data'!I$2:'Raw Data'!I$352))*($J$3-$J$4)/(MAX('Raw Data'!I$2:'Raw Data'!I$352)-MIN('Raw Data'!I$2:'Raw Data'!I$352)),"")</f>
        <v>84.453850267379678</v>
      </c>
      <c r="G23" s="52">
        <f ca="1">IF(Bracket!$I$1="Composite",AVERAGE(B23:F23),IF(Bracket!$I$1="Kenpom",B23,IF(Bracket!$I$1="PVA",C23,IF(Bracket!$I$1="Sagarin Predictor",D23,IF(Bracket!$I$1="No Preseason",AVERAGE(B23:D23),"")))))</f>
        <v>85.600240006822702</v>
      </c>
      <c r="H23" s="63">
        <f t="shared" ca="1" si="0"/>
        <v>24</v>
      </c>
      <c r="I23" s="52"/>
      <c r="J23" s="52"/>
      <c r="K23" s="52"/>
    </row>
    <row r="24" spans="1:11" x14ac:dyDescent="0.3">
      <c r="A24" s="52" t="str">
        <f>'Raw Data'!A24</f>
        <v>UConn</v>
      </c>
      <c r="B24" s="52">
        <f ca="1">'Raw Data'!B24*($K$2/_xlfn.STDEV.P('Raw Data'!B$2:'Raw Data'!B$352)) + ($J$2-($K$2/_xlfn.STDEV.P('Raw Data'!B$2:'Raw Data'!B$352))*AVERAGE('Raw Data'!B$2:'Raw Data'!B$352))</f>
        <v>85.948866097486857</v>
      </c>
      <c r="C24" s="52">
        <f ca="1">'Raw Data'!C24*($K$2/_xlfn.STDEV.P('Raw Data'!C$2:'Raw Data'!C$352)) + ($J$2-($K$2/_xlfn.STDEV.P('Raw Data'!C$2:'Raw Data'!C$352))*AVERAGE('Raw Data'!C$2:'Raw Data'!C$352))</f>
        <v>85.731267771559203</v>
      </c>
      <c r="D24" s="52">
        <f ca="1">'Raw Data'!D24*($K$2/_xlfn.STDEV.P('Raw Data'!D$2:'Raw Data'!D$352)) + ($J$2-($K$2/_xlfn.STDEV.P('Raw Data'!D$2:'Raw Data'!D$352))*AVERAGE('Raw Data'!D$2:'Raw Data'!D$352))</f>
        <v>85.97</v>
      </c>
      <c r="E24" s="52">
        <f ca="1">IFERROR($J$4+('Raw Data'!H24-MIN('Raw Data'!H$2:'Raw Data'!H$352))*($J$3-$J$4)/(MAX('Raw Data'!H$2:'Raw Data'!H$352)-MIN('Raw Data'!H$2:'Raw Data'!H$352)),"")</f>
        <v>84.37281150159744</v>
      </c>
      <c r="F24" s="52">
        <f ca="1">IFERROR($J$4+('Raw Data'!I24-MIN('Raw Data'!I$2:'Raw Data'!I$352))*($J$3-$J$4)/(MAX('Raw Data'!I$2:'Raw Data'!I$352)-MIN('Raw Data'!I$2:'Raw Data'!I$352)),"")</f>
        <v>83.847366310160425</v>
      </c>
      <c r="G24" s="52">
        <f ca="1">IF(Bracket!$I$1="Composite",AVERAGE(B24:F24),IF(Bracket!$I$1="Kenpom",B24,IF(Bracket!$I$1="PVA",C24,IF(Bracket!$I$1="Sagarin Predictor",D24,IF(Bracket!$I$1="No Preseason",AVERAGE(B24:D24),"")))))</f>
        <v>85.174062336160773</v>
      </c>
      <c r="H24" s="63">
        <f t="shared" ca="1" si="0"/>
        <v>27</v>
      </c>
      <c r="I24" s="52"/>
      <c r="J24" s="52"/>
      <c r="K24" s="52"/>
    </row>
    <row r="25" spans="1:11" x14ac:dyDescent="0.3">
      <c r="A25" s="52" t="str">
        <f>'Raw Data'!A25</f>
        <v>Utah</v>
      </c>
      <c r="B25" s="52">
        <f ca="1">'Raw Data'!B25*($K$2/_xlfn.STDEV.P('Raw Data'!B$2:'Raw Data'!B$352)) + ($J$2-($K$2/_xlfn.STDEV.P('Raw Data'!B$2:'Raw Data'!B$352))*AVERAGE('Raw Data'!B$2:'Raw Data'!B$352))</f>
        <v>85.35293247256368</v>
      </c>
      <c r="C25" s="52">
        <f ca="1">'Raw Data'!C25*($K$2/_xlfn.STDEV.P('Raw Data'!C$2:'Raw Data'!C$352)) + ($J$2-($K$2/_xlfn.STDEV.P('Raw Data'!C$2:'Raw Data'!C$352))*AVERAGE('Raw Data'!C$2:'Raw Data'!C$352))</f>
        <v>84.955813417976756</v>
      </c>
      <c r="D25" s="52">
        <f ca="1">'Raw Data'!D25*($K$2/_xlfn.STDEV.P('Raw Data'!D$2:'Raw Data'!D$352)) + ($J$2-($K$2/_xlfn.STDEV.P('Raw Data'!D$2:'Raw Data'!D$352))*AVERAGE('Raw Data'!D$2:'Raw Data'!D$352))</f>
        <v>85.82</v>
      </c>
      <c r="E25" s="52">
        <f ca="1">IFERROR($J$4+('Raw Data'!H25-MIN('Raw Data'!H$2:'Raw Data'!H$352))*($J$3-$J$4)/(MAX('Raw Data'!H$2:'Raw Data'!H$352)-MIN('Raw Data'!H$2:'Raw Data'!H$352)),"")</f>
        <v>85.667124600638985</v>
      </c>
      <c r="F25" s="52">
        <f ca="1">IFERROR($J$4+('Raw Data'!I25-MIN('Raw Data'!I$2:'Raw Data'!I$352))*($J$3-$J$4)/(MAX('Raw Data'!I$2:'Raw Data'!I$352)-MIN('Raw Data'!I$2:'Raw Data'!I$352)),"")</f>
        <v>85.821965240641717</v>
      </c>
      <c r="G25" s="52">
        <f ca="1">IF(Bracket!$I$1="Composite",AVERAGE(B25:F25),IF(Bracket!$I$1="Kenpom",B25,IF(Bracket!$I$1="PVA",C25,IF(Bracket!$I$1="Sagarin Predictor",D25,IF(Bracket!$I$1="No Preseason",AVERAGE(B25:D25),"")))))</f>
        <v>85.523567146364229</v>
      </c>
      <c r="H25" s="63">
        <f t="shared" ca="1" si="0"/>
        <v>25</v>
      </c>
      <c r="I25" s="52"/>
      <c r="J25" s="52"/>
      <c r="K25" s="52"/>
    </row>
    <row r="26" spans="1:11" x14ac:dyDescent="0.3">
      <c r="A26" s="52" t="str">
        <f>'Raw Data'!A26</f>
        <v>Texas A&amp;M</v>
      </c>
      <c r="B26" s="52">
        <f ca="1">'Raw Data'!B26*($K$2/_xlfn.STDEV.P('Raw Data'!B$2:'Raw Data'!B$352)) + ($J$2-($K$2/_xlfn.STDEV.P('Raw Data'!B$2:'Raw Data'!B$352))*AVERAGE('Raw Data'!B$2:'Raw Data'!B$352))</f>
        <v>87.072842174873628</v>
      </c>
      <c r="C26" s="52">
        <f ca="1">'Raw Data'!C26*($K$2/_xlfn.STDEV.P('Raw Data'!C$2:'Raw Data'!C$352)) + ($J$2-($K$2/_xlfn.STDEV.P('Raw Data'!C$2:'Raw Data'!C$352))*AVERAGE('Raw Data'!C$2:'Raw Data'!C$352))</f>
        <v>88.445358009097731</v>
      </c>
      <c r="D26" s="52">
        <f ca="1">'Raw Data'!D26*($K$2/_xlfn.STDEV.P('Raw Data'!D$2:'Raw Data'!D$352)) + ($J$2-($K$2/_xlfn.STDEV.P('Raw Data'!D$2:'Raw Data'!D$352))*AVERAGE('Raw Data'!D$2:'Raw Data'!D$352))</f>
        <v>88.66</v>
      </c>
      <c r="E26" s="52">
        <f ca="1">IFERROR($J$4+('Raw Data'!H26-MIN('Raw Data'!H$2:'Raw Data'!H$352))*($J$3-$J$4)/(MAX('Raw Data'!H$2:'Raw Data'!H$352)-MIN('Raw Data'!H$2:'Raw Data'!H$352)),"")</f>
        <v>82.788626198083065</v>
      </c>
      <c r="F26" s="52">
        <f ca="1">IFERROR($J$4+('Raw Data'!I26-MIN('Raw Data'!I$2:'Raw Data'!I$352))*($J$3-$J$4)/(MAX('Raw Data'!I$2:'Raw Data'!I$352)-MIN('Raw Data'!I$2:'Raw Data'!I$352)),"")</f>
        <v>83.113943850267376</v>
      </c>
      <c r="G26" s="52">
        <f ca="1">IF(Bracket!$I$1="Composite",AVERAGE(B26:F26),IF(Bracket!$I$1="Kenpom",B26,IF(Bracket!$I$1="PVA",C26,IF(Bracket!$I$1="Sagarin Predictor",D26,IF(Bracket!$I$1="No Preseason",AVERAGE(B26:D26),"")))))</f>
        <v>86.016154046464379</v>
      </c>
      <c r="H26" s="63">
        <f t="shared" ca="1" si="0"/>
        <v>21</v>
      </c>
      <c r="I26" s="52"/>
      <c r="J26" s="52"/>
      <c r="K26" s="52"/>
    </row>
    <row r="27" spans="1:11" x14ac:dyDescent="0.3">
      <c r="A27" s="52" t="str">
        <f>'Raw Data'!A27</f>
        <v>Texas</v>
      </c>
      <c r="B27" s="52">
        <f ca="1">'Raw Data'!B27*($K$2/_xlfn.STDEV.P('Raw Data'!B$2:'Raw Data'!B$352)) + ($J$2-($K$2/_xlfn.STDEV.P('Raw Data'!B$2:'Raw Data'!B$352))*AVERAGE('Raw Data'!B$2:'Raw Data'!B$352))</f>
        <v>84.553325330261686</v>
      </c>
      <c r="C27" s="52">
        <f ca="1">'Raw Data'!C27*($K$2/_xlfn.STDEV.P('Raw Data'!C$2:'Raw Data'!C$352)) + ($J$2-($K$2/_xlfn.STDEV.P('Raw Data'!C$2:'Raw Data'!C$352))*AVERAGE('Raw Data'!C$2:'Raw Data'!C$352))</f>
        <v>83.663389495339359</v>
      </c>
      <c r="D27" s="52">
        <f ca="1">'Raw Data'!D27*($K$2/_xlfn.STDEV.P('Raw Data'!D$2:'Raw Data'!D$352)) + ($J$2-($K$2/_xlfn.STDEV.P('Raw Data'!D$2:'Raw Data'!D$352))*AVERAGE('Raw Data'!D$2:'Raw Data'!D$352))</f>
        <v>84.55</v>
      </c>
      <c r="E27" s="52">
        <f ca="1">IFERROR($J$4+('Raw Data'!H27-MIN('Raw Data'!H$2:'Raw Data'!H$352))*($J$3-$J$4)/(MAX('Raw Data'!H$2:'Raw Data'!H$352)-MIN('Raw Data'!H$2:'Raw Data'!H$352)),"")</f>
        <v>82.424600638977637</v>
      </c>
      <c r="F27" s="52">
        <f ca="1">IFERROR($J$4+('Raw Data'!I27-MIN('Raw Data'!I$2:'Raw Data'!I$352))*($J$3-$J$4)/(MAX('Raw Data'!I$2:'Raw Data'!I$352)-MIN('Raw Data'!I$2:'Raw Data'!I$352)),"")</f>
        <v>82.704919786096255</v>
      </c>
      <c r="G27" s="52">
        <f ca="1">IF(Bracket!$I$1="Composite",AVERAGE(B27:F27),IF(Bracket!$I$1="Kenpom",B27,IF(Bracket!$I$1="PVA",C27,IF(Bracket!$I$1="Sagarin Predictor",D27,IF(Bracket!$I$1="No Preseason",AVERAGE(B27:D27),"")))))</f>
        <v>83.579247050134981</v>
      </c>
      <c r="H27" s="63">
        <f t="shared" ca="1" si="0"/>
        <v>39</v>
      </c>
      <c r="I27" s="52"/>
      <c r="J27" s="52"/>
      <c r="K27" s="52"/>
    </row>
    <row r="28" spans="1:11" x14ac:dyDescent="0.3">
      <c r="A28" s="52" t="str">
        <f>'Raw Data'!A28</f>
        <v>Cal</v>
      </c>
      <c r="B28" s="52">
        <f ca="1">'Raw Data'!B28*($K$2/_xlfn.STDEV.P('Raw Data'!B$2:'Raw Data'!B$352)) + ($J$2-($K$2/_xlfn.STDEV.P('Raw Data'!B$2:'Raw Data'!B$352))*AVERAGE('Raw Data'!B$2:'Raw Data'!B$352))</f>
        <v>85.590551576172288</v>
      </c>
      <c r="C28" s="52">
        <f ca="1">'Raw Data'!C28*($K$2/_xlfn.STDEV.P('Raw Data'!C$2:'Raw Data'!C$352)) + ($J$2-($K$2/_xlfn.STDEV.P('Raw Data'!C$2:'Raw Data'!C$352))*AVERAGE('Raw Data'!C$2:'Raw Data'!C$352))</f>
        <v>86.894449301932852</v>
      </c>
      <c r="D28" s="52">
        <f ca="1">'Raw Data'!D28*($K$2/_xlfn.STDEV.P('Raw Data'!D$2:'Raw Data'!D$352)) + ($J$2-($K$2/_xlfn.STDEV.P('Raw Data'!D$2:'Raw Data'!D$352))*AVERAGE('Raw Data'!D$2:'Raw Data'!D$352))</f>
        <v>85.38</v>
      </c>
      <c r="E28" s="52">
        <f ca="1">IFERROR($J$4+('Raw Data'!H28-MIN('Raw Data'!H$2:'Raw Data'!H$352))*($J$3-$J$4)/(MAX('Raw Data'!H$2:'Raw Data'!H$352)-MIN('Raw Data'!H$2:'Raw Data'!H$352)),"")</f>
        <v>87.406357827476043</v>
      </c>
      <c r="F28" s="52">
        <f ca="1">IFERROR($J$4+('Raw Data'!I28-MIN('Raw Data'!I$2:'Raw Data'!I$352))*($J$3-$J$4)/(MAX('Raw Data'!I$2:'Raw Data'!I$352)-MIN('Raw Data'!I$2:'Raw Data'!I$352)),"")</f>
        <v>87.232393048128344</v>
      </c>
      <c r="G28" s="52">
        <f ca="1">IF(Bracket!$I$1="Composite",AVERAGE(B28:F28),IF(Bracket!$I$1="Kenpom",B28,IF(Bracket!$I$1="PVA",C28,IF(Bracket!$I$1="Sagarin Predictor",D28,IF(Bracket!$I$1="No Preseason",AVERAGE(B28:D28),"")))))</f>
        <v>86.50075035074191</v>
      </c>
      <c r="H28" s="63">
        <f t="shared" ca="1" si="0"/>
        <v>20</v>
      </c>
      <c r="I28" s="52"/>
      <c r="J28" s="52"/>
      <c r="K28" s="52"/>
    </row>
    <row r="29" spans="1:11" x14ac:dyDescent="0.3">
      <c r="A29" s="52" t="str">
        <f>'Raw Data'!A29</f>
        <v>Baylor</v>
      </c>
      <c r="B29" s="52">
        <f ca="1">'Raw Data'!B29*($K$2/_xlfn.STDEV.P('Raw Data'!B$2:'Raw Data'!B$352)) + ($J$2-($K$2/_xlfn.STDEV.P('Raw Data'!B$2:'Raw Data'!B$352))*AVERAGE('Raw Data'!B$2:'Raw Data'!B$352))</f>
        <v>85.545290794532548</v>
      </c>
      <c r="C29" s="52">
        <f ca="1">'Raw Data'!C29*($K$2/_xlfn.STDEV.P('Raw Data'!C$2:'Raw Data'!C$352)) + ($J$2-($K$2/_xlfn.STDEV.P('Raw Data'!C$2:'Raw Data'!C$352))*AVERAGE('Raw Data'!C$2:'Raw Data'!C$352))</f>
        <v>84.56808624118554</v>
      </c>
      <c r="D29" s="52">
        <f ca="1">'Raw Data'!D29*($K$2/_xlfn.STDEV.P('Raw Data'!D$2:'Raw Data'!D$352)) + ($J$2-($K$2/_xlfn.STDEV.P('Raw Data'!D$2:'Raw Data'!D$352))*AVERAGE('Raw Data'!D$2:'Raw Data'!D$352))</f>
        <v>86.06</v>
      </c>
      <c r="E29" s="52">
        <f ca="1">IFERROR($J$4+('Raw Data'!H29-MIN('Raw Data'!H$2:'Raw Data'!H$352))*($J$3-$J$4)/(MAX('Raw Data'!H$2:'Raw Data'!H$352)-MIN('Raw Data'!H$2:'Raw Data'!H$352)),"")</f>
        <v>84.08968051118211</v>
      </c>
      <c r="F29" s="52">
        <f ca="1">IFERROR($J$4+('Raw Data'!I29-MIN('Raw Data'!I$2:'Raw Data'!I$352))*($J$3-$J$4)/(MAX('Raw Data'!I$2:'Raw Data'!I$352)-MIN('Raw Data'!I$2:'Raw Data'!I$352)),"")</f>
        <v>84.341016042780751</v>
      </c>
      <c r="G29" s="52">
        <f ca="1">IF(Bracket!$I$1="Composite",AVERAGE(B29:F29),IF(Bracket!$I$1="Kenpom",B29,IF(Bracket!$I$1="PVA",C29,IF(Bracket!$I$1="Sagarin Predictor",D29,IF(Bracket!$I$1="No Preseason",AVERAGE(B29:D29),"")))))</f>
        <v>84.920814717936196</v>
      </c>
      <c r="H29" s="63">
        <f t="shared" ca="1" si="0"/>
        <v>29</v>
      </c>
      <c r="I29" s="52"/>
      <c r="J29" s="52"/>
      <c r="K29" s="52"/>
    </row>
    <row r="30" spans="1:11" x14ac:dyDescent="0.3">
      <c r="A30" s="52" t="str">
        <f>'Raw Data'!A30</f>
        <v>Cincinnati</v>
      </c>
      <c r="B30" s="52">
        <f ca="1">'Raw Data'!B30*($K$2/_xlfn.STDEV.P('Raw Data'!B$2:'Raw Data'!B$352)) + ($J$2-($K$2/_xlfn.STDEV.P('Raw Data'!B$2:'Raw Data'!B$352))*AVERAGE('Raw Data'!B$2:'Raw Data'!B$352))</f>
        <v>84.685335943377567</v>
      </c>
      <c r="C30" s="52">
        <f ca="1">'Raw Data'!C30*($K$2/_xlfn.STDEV.P('Raw Data'!C$2:'Raw Data'!C$352)) + ($J$2-($K$2/_xlfn.STDEV.P('Raw Data'!C$2:'Raw Data'!C$352))*AVERAGE('Raw Data'!C$2:'Raw Data'!C$352))</f>
        <v>85.472782987031707</v>
      </c>
      <c r="D30" s="52">
        <f ca="1">'Raw Data'!D30*($K$2/_xlfn.STDEV.P('Raw Data'!D$2:'Raw Data'!D$352)) + ($J$2-($K$2/_xlfn.STDEV.P('Raw Data'!D$2:'Raw Data'!D$352))*AVERAGE('Raw Data'!D$2:'Raw Data'!D$352))</f>
        <v>85.26</v>
      </c>
      <c r="E30" s="52">
        <f ca="1">IFERROR($J$4+('Raw Data'!H30-MIN('Raw Data'!H$2:'Raw Data'!H$352))*($J$3-$J$4)/(MAX('Raw Data'!H$2:'Raw Data'!H$352)-MIN('Raw Data'!H$2:'Raw Data'!H$352)),"")</f>
        <v>82.727955271565492</v>
      </c>
      <c r="F30" s="52">
        <f ca="1">IFERROR($J$4+('Raw Data'!I30-MIN('Raw Data'!I$2:'Raw Data'!I$352))*($J$3-$J$4)/(MAX('Raw Data'!I$2:'Raw Data'!I$352)-MIN('Raw Data'!I$2:'Raw Data'!I$352)),"")</f>
        <v>82.902379679144389</v>
      </c>
      <c r="G30" s="52">
        <f ca="1">IF(Bracket!$I$1="Composite",AVERAGE(B30:F30),IF(Bracket!$I$1="Kenpom",B30,IF(Bracket!$I$1="PVA",C30,IF(Bracket!$I$1="Sagarin Predictor",D30,IF(Bracket!$I$1="No Preseason",AVERAGE(B30:D30),"")))))</f>
        <v>84.209690776223823</v>
      </c>
      <c r="H30" s="63">
        <f t="shared" ca="1" si="0"/>
        <v>36</v>
      </c>
      <c r="I30" s="52"/>
      <c r="J30" s="52"/>
      <c r="K30" s="52"/>
    </row>
    <row r="31" spans="1:11" x14ac:dyDescent="0.3">
      <c r="A31" s="52" t="str">
        <f>'Raw Data'!A31</f>
        <v>Wisconsin</v>
      </c>
      <c r="B31" s="52">
        <f ca="1">'Raw Data'!B31*($K$2/_xlfn.STDEV.P('Raw Data'!B$2:'Raw Data'!B$352)) + ($J$2-($K$2/_xlfn.STDEV.P('Raw Data'!B$2:'Raw Data'!B$352))*AVERAGE('Raw Data'!B$2:'Raw Data'!B$352))</f>
        <v>84.749455384033865</v>
      </c>
      <c r="C31" s="52">
        <f ca="1">'Raw Data'!C31*($K$2/_xlfn.STDEV.P('Raw Data'!C$2:'Raw Data'!C$352)) + ($J$2-($K$2/_xlfn.STDEV.P('Raw Data'!C$2:'Raw Data'!C$352))*AVERAGE('Raw Data'!C$2:'Raw Data'!C$352))</f>
        <v>83.663389495339359</v>
      </c>
      <c r="D31" s="52">
        <f ca="1">'Raw Data'!D31*($K$2/_xlfn.STDEV.P('Raw Data'!D$2:'Raw Data'!D$352)) + ($J$2-($K$2/_xlfn.STDEV.P('Raw Data'!D$2:'Raw Data'!D$352))*AVERAGE('Raw Data'!D$2:'Raw Data'!D$352))</f>
        <v>83.72</v>
      </c>
      <c r="E31" s="52">
        <f ca="1">IFERROR($J$4+('Raw Data'!H31-MIN('Raw Data'!H$2:'Raw Data'!H$352))*($J$3-$J$4)/(MAX('Raw Data'!H$2:'Raw Data'!H$352)-MIN('Raw Data'!H$2:'Raw Data'!H$352)),"")</f>
        <v>85.222204472843458</v>
      </c>
      <c r="F31" s="52">
        <f ca="1">IFERROR($J$4+('Raw Data'!I31-MIN('Raw Data'!I$2:'Raw Data'!I$352))*($J$3-$J$4)/(MAX('Raw Data'!I$2:'Raw Data'!I$352)-MIN('Raw Data'!I$2:'Raw Data'!I$352)),"")</f>
        <v>84.848770053475931</v>
      </c>
      <c r="G31" s="52">
        <f ca="1">IF(Bracket!$I$1="Composite",AVERAGE(B31:F31),IF(Bracket!$I$1="Kenpom",B31,IF(Bracket!$I$1="PVA",C31,IF(Bracket!$I$1="Sagarin Predictor",D31,IF(Bracket!$I$1="No Preseason",AVERAGE(B31:D31),"")))))</f>
        <v>84.440763881138508</v>
      </c>
      <c r="H31" s="63">
        <f t="shared" ca="1" si="0"/>
        <v>33</v>
      </c>
      <c r="I31" s="52"/>
      <c r="J31" s="52"/>
      <c r="K31" s="52"/>
    </row>
    <row r="32" spans="1:11" x14ac:dyDescent="0.3">
      <c r="A32" s="52" t="str">
        <f>'Raw Data'!A32</f>
        <v>Valparaiso</v>
      </c>
      <c r="B32" s="52">
        <f ca="1">'Raw Data'!B32*($K$2/_xlfn.STDEV.P('Raw Data'!B$2:'Raw Data'!B$352)) + ($J$2-($K$2/_xlfn.STDEV.P('Raw Data'!B$2:'Raw Data'!B$352))*AVERAGE('Raw Data'!B$2:'Raw Data'!B$352))</f>
        <v>84.240271590586843</v>
      </c>
      <c r="C32" s="52">
        <f ca="1">'Raw Data'!C32*($K$2/_xlfn.STDEV.P('Raw Data'!C$2:'Raw Data'!C$352)) + ($J$2-($K$2/_xlfn.STDEV.P('Raw Data'!C$2:'Raw Data'!C$352))*AVERAGE('Raw Data'!C$2:'Raw Data'!C$352))</f>
        <v>83.275662318548143</v>
      </c>
      <c r="D32" s="52">
        <f ca="1">'Raw Data'!D32*($K$2/_xlfn.STDEV.P('Raw Data'!D$2:'Raw Data'!D$352)) + ($J$2-($K$2/_xlfn.STDEV.P('Raw Data'!D$2:'Raw Data'!D$352))*AVERAGE('Raw Data'!D$2:'Raw Data'!D$352))</f>
        <v>82.79</v>
      </c>
      <c r="E32" s="52">
        <f ca="1">IFERROR($J$4+('Raw Data'!H32-MIN('Raw Data'!H$2:'Raw Data'!H$352))*($J$3-$J$4)/(MAX('Raw Data'!H$2:'Raw Data'!H$352)-MIN('Raw Data'!H$2:'Raw Data'!H$352)),"")</f>
        <v>82.33696485623004</v>
      </c>
      <c r="F32" s="52" t="str">
        <f ca="1">IFERROR($J$4+('Raw Data'!I32-MIN('Raw Data'!I$2:'Raw Data'!I$352))*($J$3-$J$4)/(MAX('Raw Data'!I$2:'Raw Data'!I$352)-MIN('Raw Data'!I$2:'Raw Data'!I$352)),"")</f>
        <v/>
      </c>
      <c r="G32" s="52">
        <f ca="1">IF(Bracket!$I$1="Composite",AVERAGE(B32:F32),IF(Bracket!$I$1="Kenpom",B32,IF(Bracket!$I$1="PVA",C32,IF(Bracket!$I$1="Sagarin Predictor",D32,IF(Bracket!$I$1="No Preseason",AVERAGE(B32:D32),"")))))</f>
        <v>83.160724691341258</v>
      </c>
      <c r="H32" s="63">
        <f t="shared" ca="1" si="0"/>
        <v>41</v>
      </c>
      <c r="I32" s="52"/>
      <c r="J32" s="52"/>
      <c r="K32" s="52"/>
    </row>
    <row r="33" spans="1:11" x14ac:dyDescent="0.3">
      <c r="A33" s="52" t="str">
        <f>'Raw Data'!A33</f>
        <v>Gonzaga</v>
      </c>
      <c r="B33" s="52">
        <f ca="1">'Raw Data'!B33*($K$2/_xlfn.STDEV.P('Raw Data'!B$2:'Raw Data'!B$352)) + ($J$2-($K$2/_xlfn.STDEV.P('Raw Data'!B$2:'Raw Data'!B$352))*AVERAGE('Raw Data'!B$2:'Raw Data'!B$352))</f>
        <v>86.310952350604737</v>
      </c>
      <c r="C33" s="52">
        <f ca="1">'Raw Data'!C33*($K$2/_xlfn.STDEV.P('Raw Data'!C$2:'Raw Data'!C$352)) + ($J$2-($K$2/_xlfn.STDEV.P('Raw Data'!C$2:'Raw Data'!C$352))*AVERAGE('Raw Data'!C$2:'Raw Data'!C$352))</f>
        <v>86.248237340614153</v>
      </c>
      <c r="D33" s="52">
        <f ca="1">'Raw Data'!D33*($K$2/_xlfn.STDEV.P('Raw Data'!D$2:'Raw Data'!D$352)) + ($J$2-($K$2/_xlfn.STDEV.P('Raw Data'!D$2:'Raw Data'!D$352))*AVERAGE('Raw Data'!D$2:'Raw Data'!D$352))</f>
        <v>87.38</v>
      </c>
      <c r="E33" s="52">
        <f ca="1">IFERROR($J$4+('Raw Data'!H33-MIN('Raw Data'!H$2:'Raw Data'!H$352))*($J$3-$J$4)/(MAX('Raw Data'!H$2:'Raw Data'!H$352)-MIN('Raw Data'!H$2:'Raw Data'!H$352)),"")</f>
        <v>89.361309904153359</v>
      </c>
      <c r="F33" s="52">
        <f ca="1">IFERROR($J$4+('Raw Data'!I33-MIN('Raw Data'!I$2:'Raw Data'!I$352))*($J$3-$J$4)/(MAX('Raw Data'!I$2:'Raw Data'!I$352)-MIN('Raw Data'!I$2:'Raw Data'!I$352)),"")</f>
        <v>88.896697860962561</v>
      </c>
      <c r="G33" s="52">
        <f ca="1">IF(Bracket!$I$1="Composite",AVERAGE(B33:F33),IF(Bracket!$I$1="Kenpom",B33,IF(Bracket!$I$1="PVA",C33,IF(Bracket!$I$1="Sagarin Predictor",D33,IF(Bracket!$I$1="No Preseason",AVERAGE(B33:D33),"")))))</f>
        <v>87.639439491266955</v>
      </c>
      <c r="H33" s="63">
        <f t="shared" ca="1" si="0"/>
        <v>15</v>
      </c>
      <c r="I33" s="52"/>
      <c r="J33" s="52"/>
      <c r="K33" s="52"/>
    </row>
    <row r="34" spans="1:11" x14ac:dyDescent="0.3">
      <c r="A34" s="52" t="str">
        <f>'Raw Data'!A34</f>
        <v>Seton Hall</v>
      </c>
      <c r="B34" s="52">
        <f ca="1">'Raw Data'!B34*($K$2/_xlfn.STDEV.P('Raw Data'!B$2:'Raw Data'!B$352)) + ($J$2-($K$2/_xlfn.STDEV.P('Raw Data'!B$2:'Raw Data'!B$352))*AVERAGE('Raw Data'!B$2:'Raw Data'!B$352))</f>
        <v>85.681073139451755</v>
      </c>
      <c r="C34" s="52">
        <f ca="1">'Raw Data'!C34*($K$2/_xlfn.STDEV.P('Raw Data'!C$2:'Raw Data'!C$352)) + ($J$2-($K$2/_xlfn.STDEV.P('Raw Data'!C$2:'Raw Data'!C$352))*AVERAGE('Raw Data'!C$2:'Raw Data'!C$352))</f>
        <v>85.472782987031707</v>
      </c>
      <c r="D34" s="52">
        <f ca="1">'Raw Data'!D34*($K$2/_xlfn.STDEV.P('Raw Data'!D$2:'Raw Data'!D$352)) + ($J$2-($K$2/_xlfn.STDEV.P('Raw Data'!D$2:'Raw Data'!D$352))*AVERAGE('Raw Data'!D$2:'Raw Data'!D$352))</f>
        <v>84.43</v>
      </c>
      <c r="E34" s="52" t="str">
        <f ca="1">IFERROR($J$4+('Raw Data'!H34-MIN('Raw Data'!H$2:'Raw Data'!H$352))*($J$3-$J$4)/(MAX('Raw Data'!H$2:'Raw Data'!H$352)-MIN('Raw Data'!H$2:'Raw Data'!H$352)),"")</f>
        <v/>
      </c>
      <c r="F34" s="52" t="str">
        <f ca="1">IFERROR($J$4+('Raw Data'!I34-MIN('Raw Data'!I$2:'Raw Data'!I$352))*($J$3-$J$4)/(MAX('Raw Data'!I$2:'Raw Data'!I$352)-MIN('Raw Data'!I$2:'Raw Data'!I$352)),"")</f>
        <v/>
      </c>
      <c r="G34" s="52">
        <f ca="1">IF(Bracket!$I$1="Composite",AVERAGE(B34:F34),IF(Bracket!$I$1="Kenpom",B34,IF(Bracket!$I$1="PVA",C34,IF(Bracket!$I$1="Sagarin Predictor",D34,IF(Bracket!$I$1="No Preseason",AVERAGE(B34:D34),"")))))</f>
        <v>85.194618708827818</v>
      </c>
      <c r="H34" s="63">
        <f t="shared" ca="1" si="0"/>
        <v>26</v>
      </c>
      <c r="I34" s="52"/>
      <c r="J34" s="52"/>
      <c r="K34" s="52"/>
    </row>
    <row r="35" spans="1:11" x14ac:dyDescent="0.3">
      <c r="A35" s="52" t="str">
        <f>'Raw Data'!A35</f>
        <v>Notre Dame</v>
      </c>
      <c r="B35" s="52">
        <f ca="1">'Raw Data'!B35*($K$2/_xlfn.STDEV.P('Raw Data'!B$2:'Raw Data'!B$352)) + ($J$2-($K$2/_xlfn.STDEV.P('Raw Data'!B$2:'Raw Data'!B$352))*AVERAGE('Raw Data'!B$2:'Raw Data'!B$352))</f>
        <v>84.213869467963661</v>
      </c>
      <c r="C35" s="52">
        <f ca="1">'Raw Data'!C35*($K$2/_xlfn.STDEV.P('Raw Data'!C$2:'Raw Data'!C$352)) + ($J$2-($K$2/_xlfn.STDEV.P('Raw Data'!C$2:'Raw Data'!C$352))*AVERAGE('Raw Data'!C$2:'Raw Data'!C$352))</f>
        <v>84.180359064394324</v>
      </c>
      <c r="D35" s="52">
        <f ca="1">'Raw Data'!D35*($K$2/_xlfn.STDEV.P('Raw Data'!D$2:'Raw Data'!D$352)) + ($J$2-($K$2/_xlfn.STDEV.P('Raw Data'!D$2:'Raw Data'!D$352))*AVERAGE('Raw Data'!D$2:'Raw Data'!D$352))</f>
        <v>84.32</v>
      </c>
      <c r="E35" s="52">
        <f ca="1">IFERROR($J$4+('Raw Data'!H35-MIN('Raw Data'!H$2:'Raw Data'!H$352))*($J$3-$J$4)/(MAX('Raw Data'!H$2:'Raw Data'!H$352)-MIN('Raw Data'!H$2:'Raw Data'!H$352)),"")</f>
        <v>84.730095846645369</v>
      </c>
      <c r="F35" s="52">
        <f ca="1">IFERROR($J$4+('Raw Data'!I35-MIN('Raw Data'!I$2:'Raw Data'!I$352))*($J$3-$J$4)/(MAX('Raw Data'!I$2:'Raw Data'!I$352)-MIN('Raw Data'!I$2:'Raw Data'!I$352)),"")</f>
        <v>84.721831550802136</v>
      </c>
      <c r="G35" s="52">
        <f ca="1">IF(Bracket!$I$1="Composite",AVERAGE(B35:F35),IF(Bracket!$I$1="Kenpom",B35,IF(Bracket!$I$1="PVA",C35,IF(Bracket!$I$1="Sagarin Predictor",D35,IF(Bracket!$I$1="No Preseason",AVERAGE(B35:D35),"")))))</f>
        <v>84.433231185961105</v>
      </c>
      <c r="H35" s="63">
        <f t="shared" ca="1" si="0"/>
        <v>34</v>
      </c>
      <c r="I35" s="52"/>
      <c r="J35" s="52"/>
      <c r="K35" s="52"/>
    </row>
    <row r="36" spans="1:11" x14ac:dyDescent="0.3">
      <c r="A36" s="52" t="str">
        <f>'Raw Data'!A36</f>
        <v>Saint Joseph's</v>
      </c>
      <c r="B36" s="52">
        <f ca="1">'Raw Data'!B36*($K$2/_xlfn.STDEV.P('Raw Data'!B$2:'Raw Data'!B$352)) + ($J$2-($K$2/_xlfn.STDEV.P('Raw Data'!B$2:'Raw Data'!B$352))*AVERAGE('Raw Data'!B$2:'Raw Data'!B$352))</f>
        <v>83.866870142059014</v>
      </c>
      <c r="C36" s="52">
        <f ca="1">'Raw Data'!C36*($K$2/_xlfn.STDEV.P('Raw Data'!C$2:'Raw Data'!C$352)) + ($J$2-($K$2/_xlfn.STDEV.P('Raw Data'!C$2:'Raw Data'!C$352))*AVERAGE('Raw Data'!C$2:'Raw Data'!C$352))</f>
        <v>83.275662318548143</v>
      </c>
      <c r="D36" s="52">
        <f ca="1">'Raw Data'!D36*($K$2/_xlfn.STDEV.P('Raw Data'!D$2:'Raw Data'!D$352)) + ($J$2-($K$2/_xlfn.STDEV.P('Raw Data'!D$2:'Raw Data'!D$352))*AVERAGE('Raw Data'!D$2:'Raw Data'!D$352))</f>
        <v>82.46</v>
      </c>
      <c r="E36" s="52" t="str">
        <f ca="1">IFERROR($J$4+('Raw Data'!H36-MIN('Raw Data'!H$2:'Raw Data'!H$352))*($J$3-$J$4)/(MAX('Raw Data'!H$2:'Raw Data'!H$352)-MIN('Raw Data'!H$2:'Raw Data'!H$352)),"")</f>
        <v/>
      </c>
      <c r="F36" s="52" t="str">
        <f ca="1">IFERROR($J$4+('Raw Data'!I36-MIN('Raw Data'!I$2:'Raw Data'!I$352))*($J$3-$J$4)/(MAX('Raw Data'!I$2:'Raw Data'!I$352)-MIN('Raw Data'!I$2:'Raw Data'!I$352)),"")</f>
        <v/>
      </c>
      <c r="G36" s="52">
        <f ca="1">IF(Bracket!$I$1="Composite",AVERAGE(B36:F36),IF(Bracket!$I$1="Kenpom",B36,IF(Bracket!$I$1="PVA",C36,IF(Bracket!$I$1="Sagarin Predictor",D36,IF(Bracket!$I$1="No Preseason",AVERAGE(B36:D36),"")))))</f>
        <v>83.200844153535726</v>
      </c>
      <c r="H36" s="63">
        <f t="shared" ca="1" si="0"/>
        <v>40</v>
      </c>
      <c r="I36" s="52"/>
      <c r="J36" s="52"/>
      <c r="K36" s="52"/>
    </row>
    <row r="37" spans="1:11" x14ac:dyDescent="0.3">
      <c r="A37" s="52" t="str">
        <f>'Raw Data'!A37</f>
        <v>Saint Mary's</v>
      </c>
      <c r="B37" s="52">
        <f ca="1">'Raw Data'!B37*($K$2/_xlfn.STDEV.P('Raw Data'!B$2:'Raw Data'!B$352)) + ($J$2-($K$2/_xlfn.STDEV.P('Raw Data'!B$2:'Raw Data'!B$352))*AVERAGE('Raw Data'!B$2:'Raw Data'!B$352))</f>
        <v>84.443945107965646</v>
      </c>
      <c r="C37" s="52">
        <f ca="1">'Raw Data'!C37*($K$2/_xlfn.STDEV.P('Raw Data'!C$2:'Raw Data'!C$352)) + ($J$2-($K$2/_xlfn.STDEV.P('Raw Data'!C$2:'Raw Data'!C$352))*AVERAGE('Raw Data'!C$2:'Raw Data'!C$352))</f>
        <v>84.826571025713022</v>
      </c>
      <c r="D37" s="52">
        <f ca="1">'Raw Data'!D37*($K$2/_xlfn.STDEV.P('Raw Data'!D$2:'Raw Data'!D$352)) + ($J$2-($K$2/_xlfn.STDEV.P('Raw Data'!D$2:'Raw Data'!D$352))*AVERAGE('Raw Data'!D$2:'Raw Data'!D$352))</f>
        <v>84.91</v>
      </c>
      <c r="E37" s="52" t="str">
        <f ca="1">IFERROR($J$4+('Raw Data'!H37-MIN('Raw Data'!H$2:'Raw Data'!H$352))*($J$3-$J$4)/(MAX('Raw Data'!H$2:'Raw Data'!H$352)-MIN('Raw Data'!H$2:'Raw Data'!H$352)),"")</f>
        <v/>
      </c>
      <c r="F37" s="52" t="str">
        <f ca="1">IFERROR($J$4+('Raw Data'!I37-MIN('Raw Data'!I$2:'Raw Data'!I$352))*($J$3-$J$4)/(MAX('Raw Data'!I$2:'Raw Data'!I$352)-MIN('Raw Data'!I$2:'Raw Data'!I$352)),"")</f>
        <v/>
      </c>
      <c r="G37" s="52">
        <f ca="1">IF(Bracket!$I$1="Composite",AVERAGE(B37:F37),IF(Bracket!$I$1="Kenpom",B37,IF(Bracket!$I$1="PVA",C37,IF(Bracket!$I$1="Sagarin Predictor",D37,IF(Bracket!$I$1="No Preseason",AVERAGE(B37:D37),"")))))</f>
        <v>84.726838711226222</v>
      </c>
      <c r="H37" s="63">
        <f t="shared" ca="1" si="0"/>
        <v>30</v>
      </c>
      <c r="I37" s="52"/>
      <c r="J37" s="52"/>
      <c r="K37" s="52"/>
    </row>
    <row r="38" spans="1:11" x14ac:dyDescent="0.3">
      <c r="A38" s="52" t="str">
        <f>'Raw Data'!A38</f>
        <v>Texas Tech</v>
      </c>
      <c r="B38" s="52">
        <f ca="1">'Raw Data'!B38*($K$2/_xlfn.STDEV.P('Raw Data'!B$2:'Raw Data'!B$352)) + ($J$2-($K$2/_xlfn.STDEV.P('Raw Data'!B$2:'Raw Data'!B$352))*AVERAGE('Raw Data'!B$2:'Raw Data'!B$352))</f>
        <v>82.897535068608008</v>
      </c>
      <c r="C38" s="52">
        <f ca="1">'Raw Data'!C38*($K$2/_xlfn.STDEV.P('Raw Data'!C$2:'Raw Data'!C$352)) + ($J$2-($K$2/_xlfn.STDEV.P('Raw Data'!C$2:'Raw Data'!C$352))*AVERAGE('Raw Data'!C$2:'Raw Data'!C$352))</f>
        <v>82.629450357229445</v>
      </c>
      <c r="D38" s="52">
        <f ca="1">'Raw Data'!D38*($K$2/_xlfn.STDEV.P('Raw Data'!D$2:'Raw Data'!D$352)) + ($J$2-($K$2/_xlfn.STDEV.P('Raw Data'!D$2:'Raw Data'!D$352))*AVERAGE('Raw Data'!D$2:'Raw Data'!D$352))</f>
        <v>82.09</v>
      </c>
      <c r="E38" s="52" t="str">
        <f ca="1">IFERROR($J$4+('Raw Data'!H38-MIN('Raw Data'!H$2:'Raw Data'!H$352))*($J$3-$J$4)/(MAX('Raw Data'!H$2:'Raw Data'!H$352)-MIN('Raw Data'!H$2:'Raw Data'!H$352)),"")</f>
        <v/>
      </c>
      <c r="F38" s="52" t="str">
        <f ca="1">IFERROR($J$4+('Raw Data'!I38-MIN('Raw Data'!I$2:'Raw Data'!I$352))*($J$3-$J$4)/(MAX('Raw Data'!I$2:'Raw Data'!I$352)-MIN('Raw Data'!I$2:'Raw Data'!I$352)),"")</f>
        <v/>
      </c>
      <c r="G38" s="52">
        <f ca="1">IF(Bracket!$I$1="Composite",AVERAGE(B38:F38),IF(Bracket!$I$1="Kenpom",B38,IF(Bracket!$I$1="PVA",C38,IF(Bracket!$I$1="Sagarin Predictor",D38,IF(Bracket!$I$1="No Preseason",AVERAGE(B38:D38),"")))))</f>
        <v>82.538995141945819</v>
      </c>
      <c r="H38" s="63">
        <f t="shared" ca="1" si="0"/>
        <v>47</v>
      </c>
      <c r="I38" s="52"/>
      <c r="J38" s="52"/>
      <c r="K38" s="52"/>
    </row>
    <row r="39" spans="1:11" x14ac:dyDescent="0.3">
      <c r="A39" s="52" t="str">
        <f>'Raw Data'!A39</f>
        <v>Butler</v>
      </c>
      <c r="B39" s="52">
        <f ca="1">'Raw Data'!B39*($K$2/_xlfn.STDEV.P('Raw Data'!B$2:'Raw Data'!B$352)) + ($J$2-($K$2/_xlfn.STDEV.P('Raw Data'!B$2:'Raw Data'!B$352))*AVERAGE('Raw Data'!B$2:'Raw Data'!B$352))</f>
        <v>84.383597399112659</v>
      </c>
      <c r="C39" s="52">
        <f ca="1">'Raw Data'!C39*($K$2/_xlfn.STDEV.P('Raw Data'!C$2:'Raw Data'!C$352)) + ($J$2-($K$2/_xlfn.STDEV.P('Raw Data'!C$2:'Raw Data'!C$352))*AVERAGE('Raw Data'!C$2:'Raw Data'!C$352))</f>
        <v>83.792631887603108</v>
      </c>
      <c r="D39" s="52">
        <f ca="1">'Raw Data'!D39*($K$2/_xlfn.STDEV.P('Raw Data'!D$2:'Raw Data'!D$352)) + ($J$2-($K$2/_xlfn.STDEV.P('Raw Data'!D$2:'Raw Data'!D$352))*AVERAGE('Raw Data'!D$2:'Raw Data'!D$352))</f>
        <v>85.92</v>
      </c>
      <c r="E39" s="52">
        <f ca="1">IFERROR($J$4+('Raw Data'!H39-MIN('Raw Data'!H$2:'Raw Data'!H$352))*($J$3-$J$4)/(MAX('Raw Data'!H$2:'Raw Data'!H$352)-MIN('Raw Data'!H$2:'Raw Data'!H$352)),"")</f>
        <v>83.806549520766779</v>
      </c>
      <c r="F39" s="52">
        <f ca="1">IFERROR($J$4+('Raw Data'!I39-MIN('Raw Data'!I$2:'Raw Data'!I$352))*($J$3-$J$4)/(MAX('Raw Data'!I$2:'Raw Data'!I$352)-MIN('Raw Data'!I$2:'Raw Data'!I$352)),"")</f>
        <v>84.157660427807485</v>
      </c>
      <c r="G39" s="52">
        <f ca="1">IF(Bracket!$I$1="Composite",AVERAGE(B39:F39),IF(Bracket!$I$1="Kenpom",B39,IF(Bracket!$I$1="PVA",C39,IF(Bracket!$I$1="Sagarin Predictor",D39,IF(Bracket!$I$1="No Preseason",AVERAGE(B39:D39),"")))))</f>
        <v>84.412087847058004</v>
      </c>
      <c r="H39" s="63">
        <f t="shared" ca="1" si="0"/>
        <v>35</v>
      </c>
      <c r="I39" s="52"/>
      <c r="J39" s="52"/>
      <c r="K39" s="52"/>
    </row>
    <row r="40" spans="1:11" x14ac:dyDescent="0.3">
      <c r="A40" s="52" t="str">
        <f>'Raw Data'!A40</f>
        <v>VCU</v>
      </c>
      <c r="B40" s="52">
        <f ca="1">'Raw Data'!B40*($K$2/_xlfn.STDEV.P('Raw Data'!B$2:'Raw Data'!B$352)) + ($J$2-($K$2/_xlfn.STDEV.P('Raw Data'!B$2:'Raw Data'!B$352))*AVERAGE('Raw Data'!B$2:'Raw Data'!B$352))</f>
        <v>84.417542985342465</v>
      </c>
      <c r="C40" s="52">
        <f ca="1">'Raw Data'!C40*($K$2/_xlfn.STDEV.P('Raw Data'!C$2:'Raw Data'!C$352)) + ($J$2-($K$2/_xlfn.STDEV.P('Raw Data'!C$2:'Raw Data'!C$352))*AVERAGE('Raw Data'!C$2:'Raw Data'!C$352))</f>
        <v>85.085055810240505</v>
      </c>
      <c r="D40" s="52">
        <f ca="1">'Raw Data'!D40*($K$2/_xlfn.STDEV.P('Raw Data'!D$2:'Raw Data'!D$352)) + ($J$2-($K$2/_xlfn.STDEV.P('Raw Data'!D$2:'Raw Data'!D$352))*AVERAGE('Raw Data'!D$2:'Raw Data'!D$352))</f>
        <v>84.08</v>
      </c>
      <c r="E40" s="52" t="str">
        <f ca="1">IFERROR($J$4+('Raw Data'!H40-MIN('Raw Data'!H$2:'Raw Data'!H$352))*($J$3-$J$4)/(MAX('Raw Data'!H$2:'Raw Data'!H$352)-MIN('Raw Data'!H$2:'Raw Data'!H$352)),"")</f>
        <v/>
      </c>
      <c r="F40" s="52" t="str">
        <f ca="1">IFERROR($J$4+('Raw Data'!I40-MIN('Raw Data'!I$2:'Raw Data'!I$352))*($J$3-$J$4)/(MAX('Raw Data'!I$2:'Raw Data'!I$352)-MIN('Raw Data'!I$2:'Raw Data'!I$352)),"")</f>
        <v/>
      </c>
      <c r="G40" s="52">
        <f ca="1">IF(Bracket!$I$1="Composite",AVERAGE(B40:F40),IF(Bracket!$I$1="Kenpom",B40,IF(Bracket!$I$1="PVA",C40,IF(Bracket!$I$1="Sagarin Predictor",D40,IF(Bracket!$I$1="No Preseason",AVERAGE(B40:D40),"")))))</f>
        <v>84.527532931860989</v>
      </c>
      <c r="H40" s="63">
        <f t="shared" ca="1" si="0"/>
        <v>31</v>
      </c>
      <c r="I40" s="52"/>
      <c r="J40" s="52"/>
      <c r="K40" s="52"/>
    </row>
    <row r="41" spans="1:11" x14ac:dyDescent="0.3">
      <c r="A41" s="52" t="str">
        <f>'Raw Data'!A41</f>
        <v>Tulsa</v>
      </c>
      <c r="B41" s="52">
        <f ca="1">'Raw Data'!B41*($K$2/_xlfn.STDEV.P('Raw Data'!B$2:'Raw Data'!B$352)) + ($J$2-($K$2/_xlfn.STDEV.P('Raw Data'!B$2:'Raw Data'!B$352))*AVERAGE('Raw Data'!B$2:'Raw Data'!B$352))</f>
        <v>81.882939213517261</v>
      </c>
      <c r="C41" s="52">
        <f ca="1">'Raw Data'!C41*($K$2/_xlfn.STDEV.P('Raw Data'!C$2:'Raw Data'!C$352)) + ($J$2-($K$2/_xlfn.STDEV.P('Raw Data'!C$2:'Raw Data'!C$352))*AVERAGE('Raw Data'!C$2:'Raw Data'!C$352))</f>
        <v>81.078541650064565</v>
      </c>
      <c r="D41" s="52">
        <f ca="1">'Raw Data'!D41*($K$2/_xlfn.STDEV.P('Raw Data'!D$2:'Raw Data'!D$352)) + ($J$2-($K$2/_xlfn.STDEV.P('Raw Data'!D$2:'Raw Data'!D$352))*AVERAGE('Raw Data'!D$2:'Raw Data'!D$352))</f>
        <v>80.28</v>
      </c>
      <c r="E41" s="52" t="str">
        <f ca="1">IFERROR($J$4+('Raw Data'!H41-MIN('Raw Data'!H$2:'Raw Data'!H$352))*($J$3-$J$4)/(MAX('Raw Data'!H$2:'Raw Data'!H$352)-MIN('Raw Data'!H$2:'Raw Data'!H$352)),"")</f>
        <v/>
      </c>
      <c r="F41" s="52">
        <f ca="1">IFERROR($J$4+('Raw Data'!I41-MIN('Raw Data'!I$2:'Raw Data'!I$352))*($J$3-$J$4)/(MAX('Raw Data'!I$2:'Raw Data'!I$352)-MIN('Raw Data'!I$2:'Raw Data'!I$352)),"")</f>
        <v>82.31</v>
      </c>
      <c r="G41" s="52">
        <f ca="1">IF(Bracket!$I$1="Composite",AVERAGE(B41:F41),IF(Bracket!$I$1="Kenpom",B41,IF(Bracket!$I$1="PVA",C41,IF(Bracket!$I$1="Sagarin Predictor",D41,IF(Bracket!$I$1="No Preseason",AVERAGE(B41:D41),"")))))</f>
        <v>81.387870215895447</v>
      </c>
      <c r="H41" s="63">
        <f t="shared" ca="1" si="0"/>
        <v>61</v>
      </c>
      <c r="I41" s="52"/>
      <c r="J41" s="52"/>
      <c r="K41" s="52"/>
    </row>
    <row r="42" spans="1:11" x14ac:dyDescent="0.3">
      <c r="A42" s="52" t="str">
        <f>'Raw Data'!A42</f>
        <v>AR Little Rock</v>
      </c>
      <c r="B42" s="52">
        <f ca="1">'Raw Data'!B42*($K$2/_xlfn.STDEV.P('Raw Data'!B$2:'Raw Data'!B$352)) + ($J$2-($K$2/_xlfn.STDEV.P('Raw Data'!B$2:'Raw Data'!B$352))*AVERAGE('Raw Data'!B$2:'Raw Data'!B$352))</f>
        <v>83.983793827961676</v>
      </c>
      <c r="C42" s="52">
        <f ca="1">'Raw Data'!C42*($K$2/_xlfn.STDEV.P('Raw Data'!C$2:'Raw Data'!C$352)) + ($J$2-($K$2/_xlfn.STDEV.P('Raw Data'!C$2:'Raw Data'!C$352))*AVERAGE('Raw Data'!C$2:'Raw Data'!C$352))</f>
        <v>80.949299257800831</v>
      </c>
      <c r="D42" s="52">
        <f ca="1">'Raw Data'!D42*($K$2/_xlfn.STDEV.P('Raw Data'!D$2:'Raw Data'!D$352)) + ($J$2-($K$2/_xlfn.STDEV.P('Raw Data'!D$2:'Raw Data'!D$352))*AVERAGE('Raw Data'!D$2:'Raw Data'!D$352))</f>
        <v>80.099999999999994</v>
      </c>
      <c r="E42" s="52" t="str">
        <f ca="1">IFERROR($J$4+('Raw Data'!H42-MIN('Raw Data'!H$2:'Raw Data'!H$352))*($J$3-$J$4)/(MAX('Raw Data'!H$2:'Raw Data'!H$352)-MIN('Raw Data'!H$2:'Raw Data'!H$352)),"")</f>
        <v/>
      </c>
      <c r="F42" s="52" t="str">
        <f ca="1">IFERROR($J$4+('Raw Data'!I42-MIN('Raw Data'!I$2:'Raw Data'!I$352))*($J$3-$J$4)/(MAX('Raw Data'!I$2:'Raw Data'!I$352)-MIN('Raw Data'!I$2:'Raw Data'!I$352)),"")</f>
        <v/>
      </c>
      <c r="G42" s="52">
        <f ca="1">IF(Bracket!$I$1="Composite",AVERAGE(B42:F42),IF(Bracket!$I$1="Kenpom",B42,IF(Bracket!$I$1="PVA",C42,IF(Bracket!$I$1="Sagarin Predictor",D42,IF(Bracket!$I$1="No Preseason",AVERAGE(B42:D42),"")))))</f>
        <v>81.677697695254167</v>
      </c>
      <c r="H42" s="63">
        <f t="shared" ca="1" si="0"/>
        <v>58</v>
      </c>
      <c r="I42" s="52"/>
      <c r="J42" s="52"/>
      <c r="K42" s="52"/>
    </row>
    <row r="43" spans="1:11" x14ac:dyDescent="0.3">
      <c r="A43" s="52" t="str">
        <f>'Raw Data'!A43</f>
        <v>Syracuse</v>
      </c>
      <c r="B43" s="52">
        <f ca="1">'Raw Data'!B43*($K$2/_xlfn.STDEV.P('Raw Data'!B$2:'Raw Data'!B$352)) + ($J$2-($K$2/_xlfn.STDEV.P('Raw Data'!B$2:'Raw Data'!B$352))*AVERAGE('Raw Data'!B$2:'Raw Data'!B$352))</f>
        <v>84.64007516173784</v>
      </c>
      <c r="C43" s="52">
        <f ca="1">'Raw Data'!C43*($K$2/_xlfn.STDEV.P('Raw Data'!C$2:'Raw Data'!C$352)) + ($J$2-($K$2/_xlfn.STDEV.P('Raw Data'!C$2:'Raw Data'!C$352))*AVERAGE('Raw Data'!C$2:'Raw Data'!C$352))</f>
        <v>83.404904710811877</v>
      </c>
      <c r="D43" s="52">
        <f ca="1">'Raw Data'!D43*($K$2/_xlfn.STDEV.P('Raw Data'!D$2:'Raw Data'!D$352)) + ($J$2-($K$2/_xlfn.STDEV.P('Raw Data'!D$2:'Raw Data'!D$352))*AVERAGE('Raw Data'!D$2:'Raw Data'!D$352))</f>
        <v>83.99</v>
      </c>
      <c r="E43" s="52" t="str">
        <f ca="1">IFERROR($J$4+('Raw Data'!H43-MIN('Raw Data'!H$2:'Raw Data'!H$352))*($J$3-$J$4)/(MAX('Raw Data'!H$2:'Raw Data'!H$352)-MIN('Raw Data'!H$2:'Raw Data'!H$352)),"")</f>
        <v/>
      </c>
      <c r="F43" s="52" t="str">
        <f ca="1">IFERROR($J$4+('Raw Data'!I43-MIN('Raw Data'!I$2:'Raw Data'!I$352))*($J$3-$J$4)/(MAX('Raw Data'!I$2:'Raw Data'!I$352)-MIN('Raw Data'!I$2:'Raw Data'!I$352)),"")</f>
        <v/>
      </c>
      <c r="G43" s="52">
        <f ca="1">IF(Bracket!$I$1="Composite",AVERAGE(B43:F43),IF(Bracket!$I$1="Kenpom",B43,IF(Bracket!$I$1="PVA",C43,IF(Bracket!$I$1="Sagarin Predictor",D43,IF(Bracket!$I$1="No Preseason",AVERAGE(B43:D43),"")))))</f>
        <v>84.011659957516585</v>
      </c>
      <c r="H43" s="63">
        <f t="shared" ca="1" si="0"/>
        <v>37</v>
      </c>
      <c r="I43" s="52"/>
      <c r="J43" s="52"/>
      <c r="K43" s="52"/>
    </row>
    <row r="44" spans="1:11" x14ac:dyDescent="0.3">
      <c r="A44" s="52" t="str">
        <f>'Raw Data'!A44</f>
        <v>Florida</v>
      </c>
      <c r="B44" s="52">
        <f ca="1">'Raw Data'!B44*($K$2/_xlfn.STDEV.P('Raw Data'!B$2:'Raw Data'!B$352)) + ($J$2-($K$2/_xlfn.STDEV.P('Raw Data'!B$2:'Raw Data'!B$352))*AVERAGE('Raw Data'!B$2:'Raw Data'!B$352))</f>
        <v>84.044141536814649</v>
      </c>
      <c r="C44" s="52">
        <f ca="1">'Raw Data'!C44*($K$2/_xlfn.STDEV.P('Raw Data'!C$2:'Raw Data'!C$352)) + ($J$2-($K$2/_xlfn.STDEV.P('Raw Data'!C$2:'Raw Data'!C$352))*AVERAGE('Raw Data'!C$2:'Raw Data'!C$352))</f>
        <v>84.180359064394324</v>
      </c>
      <c r="D44" s="52">
        <f ca="1">'Raw Data'!D44*($K$2/_xlfn.STDEV.P('Raw Data'!D$2:'Raw Data'!D$352)) + ($J$2-($K$2/_xlfn.STDEV.P('Raw Data'!D$2:'Raw Data'!D$352))*AVERAGE('Raw Data'!D$2:'Raw Data'!D$352))</f>
        <v>85.19</v>
      </c>
      <c r="E44" s="52" t="str">
        <f ca="1">IFERROR($J$4+('Raw Data'!H44-MIN('Raw Data'!H$2:'Raw Data'!H$352))*($J$3-$J$4)/(MAX('Raw Data'!H$2:'Raw Data'!H$352)-MIN('Raw Data'!H$2:'Raw Data'!H$352)),"")</f>
        <v/>
      </c>
      <c r="F44" s="52" t="str">
        <f ca="1">IFERROR($J$4+('Raw Data'!I44-MIN('Raw Data'!I$2:'Raw Data'!I$352))*($J$3-$J$4)/(MAX('Raw Data'!I$2:'Raw Data'!I$352)-MIN('Raw Data'!I$2:'Raw Data'!I$352)),"")</f>
        <v/>
      </c>
      <c r="G44" s="52">
        <f ca="1">IF(Bracket!$I$1="Composite",AVERAGE(B44:F44),IF(Bracket!$I$1="Kenpom",B44,IF(Bracket!$I$1="PVA",C44,IF(Bracket!$I$1="Sagarin Predictor",D44,IF(Bracket!$I$1="No Preseason",AVERAGE(B44:D44),"")))))</f>
        <v>84.471500200402986</v>
      </c>
      <c r="H44" s="63">
        <f t="shared" ca="1" si="0"/>
        <v>32</v>
      </c>
      <c r="I44" s="52"/>
      <c r="J44" s="52"/>
      <c r="K44" s="52"/>
    </row>
    <row r="45" spans="1:11" x14ac:dyDescent="0.3">
      <c r="A45" s="52" t="str">
        <f>'Raw Data'!A45</f>
        <v>Michigan</v>
      </c>
      <c r="B45" s="52">
        <f ca="1">'Raw Data'!B45*($K$2/_xlfn.STDEV.P('Raw Data'!B$2:'Raw Data'!B$352)) + ($J$2-($K$2/_xlfn.STDEV.P('Raw Data'!B$2:'Raw Data'!B$352))*AVERAGE('Raw Data'!B$2:'Raw Data'!B$352))</f>
        <v>82.203536416798727</v>
      </c>
      <c r="C45" s="52">
        <f ca="1">'Raw Data'!C45*($K$2/_xlfn.STDEV.P('Raw Data'!C$2:'Raw Data'!C$352)) + ($J$2-($K$2/_xlfn.STDEV.P('Raw Data'!C$2:'Raw Data'!C$352))*AVERAGE('Raw Data'!C$2:'Raw Data'!C$352))</f>
        <v>81.207784042328313</v>
      </c>
      <c r="D45" s="52">
        <f ca="1">'Raw Data'!D45*($K$2/_xlfn.STDEV.P('Raw Data'!D$2:'Raw Data'!D$352)) + ($J$2-($K$2/_xlfn.STDEV.P('Raw Data'!D$2:'Raw Data'!D$352))*AVERAGE('Raw Data'!D$2:'Raw Data'!D$352))</f>
        <v>84.12</v>
      </c>
      <c r="E45" s="52">
        <f ca="1">IFERROR($J$4+('Raw Data'!H45-MIN('Raw Data'!H$2:'Raw Data'!H$352))*($J$3-$J$4)/(MAX('Raw Data'!H$2:'Raw Data'!H$352)-MIN('Raw Data'!H$2:'Raw Data'!H$352)),"")</f>
        <v>83.152651757188494</v>
      </c>
      <c r="F45" s="52">
        <f ca="1">IFERROR($J$4+('Raw Data'!I45-MIN('Raw Data'!I$2:'Raw Data'!I$352))*($J$3-$J$4)/(MAX('Raw Data'!I$2:'Raw Data'!I$352)-MIN('Raw Data'!I$2:'Raw Data'!I$352)),"")</f>
        <v>83.819157754010703</v>
      </c>
      <c r="G45" s="52">
        <f ca="1">IF(Bracket!$I$1="Composite",AVERAGE(B45:F45),IF(Bracket!$I$1="Kenpom",B45,IF(Bracket!$I$1="PVA",C45,IF(Bracket!$I$1="Sagarin Predictor",D45,IF(Bracket!$I$1="No Preseason",AVERAGE(B45:D45),"")))))</f>
        <v>82.900625994065237</v>
      </c>
      <c r="H45" s="63">
        <f t="shared" ca="1" si="0"/>
        <v>45</v>
      </c>
      <c r="I45" s="52"/>
      <c r="J45" s="52"/>
      <c r="K45" s="52"/>
    </row>
    <row r="46" spans="1:11" x14ac:dyDescent="0.3">
      <c r="A46" s="52" t="str">
        <f>'Raw Data'!A46</f>
        <v>Florida State</v>
      </c>
      <c r="B46" s="52">
        <f ca="1">'Raw Data'!B46*($K$2/_xlfn.STDEV.P('Raw Data'!B$2:'Raw Data'!B$352)) + ($J$2-($K$2/_xlfn.STDEV.P('Raw Data'!B$2:'Raw Data'!B$352))*AVERAGE('Raw Data'!B$2:'Raw Data'!B$352))</f>
        <v>82.84850255516497</v>
      </c>
      <c r="C46" s="52">
        <f ca="1">'Raw Data'!C46*($K$2/_xlfn.STDEV.P('Raw Data'!C$2:'Raw Data'!C$352)) + ($J$2-($K$2/_xlfn.STDEV.P('Raw Data'!C$2:'Raw Data'!C$352))*AVERAGE('Raw Data'!C$2:'Raw Data'!C$352))</f>
        <v>81.983238395910746</v>
      </c>
      <c r="D46" s="52">
        <f ca="1">'Raw Data'!D46*($K$2/_xlfn.STDEV.P('Raw Data'!D$2:'Raw Data'!D$352)) + ($J$2-($K$2/_xlfn.STDEV.P('Raw Data'!D$2:'Raw Data'!D$352))*AVERAGE('Raw Data'!D$2:'Raw Data'!D$352))</f>
        <v>82.53</v>
      </c>
      <c r="E46" s="52">
        <f ca="1">IFERROR($J$4+('Raw Data'!H46-MIN('Raw Data'!H$2:'Raw Data'!H$352))*($J$3-$J$4)/(MAX('Raw Data'!H$2:'Raw Data'!H$352)-MIN('Raw Data'!H$2:'Raw Data'!H$352)),"")</f>
        <v>82.424600638977637</v>
      </c>
      <c r="F46" s="52">
        <f ca="1">IFERROR($J$4+('Raw Data'!I46-MIN('Raw Data'!I$2:'Raw Data'!I$352))*($J$3-$J$4)/(MAX('Raw Data'!I$2:'Raw Data'!I$352)-MIN('Raw Data'!I$2:'Raw Data'!I$352)),"")</f>
        <v>82.648502673796798</v>
      </c>
      <c r="G46" s="52">
        <f ca="1">IF(Bracket!$I$1="Composite",AVERAGE(B46:F46),IF(Bracket!$I$1="Kenpom",B46,IF(Bracket!$I$1="PVA",C46,IF(Bracket!$I$1="Sagarin Predictor",D46,IF(Bracket!$I$1="No Preseason",AVERAGE(B46:D46),"")))))</f>
        <v>82.486968852770019</v>
      </c>
      <c r="H46" s="63">
        <f t="shared" ca="1" si="0"/>
        <v>51</v>
      </c>
      <c r="I46" s="52"/>
      <c r="J46" s="52"/>
      <c r="K46" s="52"/>
    </row>
    <row r="47" spans="1:11" x14ac:dyDescent="0.3">
      <c r="A47" s="52" t="str">
        <f>'Raw Data'!A47</f>
        <v>USC</v>
      </c>
      <c r="B47" s="52">
        <f ca="1">'Raw Data'!B47*($K$2/_xlfn.STDEV.P('Raw Data'!B$2:'Raw Data'!B$352)) + ($J$2-($K$2/_xlfn.STDEV.P('Raw Data'!B$2:'Raw Data'!B$352))*AVERAGE('Raw Data'!B$2:'Raw Data'!B$352))</f>
        <v>82.901306800411319</v>
      </c>
      <c r="C47" s="52">
        <f ca="1">'Raw Data'!C47*($K$2/_xlfn.STDEV.P('Raw Data'!C$2:'Raw Data'!C$352)) + ($J$2-($K$2/_xlfn.STDEV.P('Raw Data'!C$2:'Raw Data'!C$352))*AVERAGE('Raw Data'!C$2:'Raw Data'!C$352))</f>
        <v>82.887935141756927</v>
      </c>
      <c r="D47" s="52">
        <f ca="1">'Raw Data'!D47*($K$2/_xlfn.STDEV.P('Raw Data'!D$2:'Raw Data'!D$352)) + ($J$2-($K$2/_xlfn.STDEV.P('Raw Data'!D$2:'Raw Data'!D$352))*AVERAGE('Raw Data'!D$2:'Raw Data'!D$352))</f>
        <v>83.3</v>
      </c>
      <c r="E47" s="52" t="str">
        <f ca="1">IFERROR($J$4+('Raw Data'!H47-MIN('Raw Data'!H$2:'Raw Data'!H$352))*($J$3-$J$4)/(MAX('Raw Data'!H$2:'Raw Data'!H$352)-MIN('Raw Data'!H$2:'Raw Data'!H$352)),"")</f>
        <v/>
      </c>
      <c r="F47" s="52" t="str">
        <f ca="1">IFERROR($J$4+('Raw Data'!I47-MIN('Raw Data'!I$2:'Raw Data'!I$352))*($J$3-$J$4)/(MAX('Raw Data'!I$2:'Raw Data'!I$352)-MIN('Raw Data'!I$2:'Raw Data'!I$352)),"")</f>
        <v/>
      </c>
      <c r="G47" s="52">
        <f ca="1">IF(Bracket!$I$1="Composite",AVERAGE(B47:F47),IF(Bracket!$I$1="Kenpom",B47,IF(Bracket!$I$1="PVA",C47,IF(Bracket!$I$1="Sagarin Predictor",D47,IF(Bracket!$I$1="No Preseason",AVERAGE(B47:D47),"")))))</f>
        <v>83.029747314056081</v>
      </c>
      <c r="H47" s="63">
        <f t="shared" ca="1" si="0"/>
        <v>43</v>
      </c>
      <c r="I47" s="52"/>
      <c r="J47" s="52"/>
      <c r="K47" s="52"/>
    </row>
    <row r="48" spans="1:11" x14ac:dyDescent="0.3">
      <c r="A48" s="52" t="str">
        <f>'Raw Data'!A48</f>
        <v>Pitt</v>
      </c>
      <c r="B48" s="52">
        <f ca="1">'Raw Data'!B48*($K$2/_xlfn.STDEV.P('Raw Data'!B$2:'Raw Data'!B$352)) + ($J$2-($K$2/_xlfn.STDEV.P('Raw Data'!B$2:'Raw Data'!B$352))*AVERAGE('Raw Data'!B$2:'Raw Data'!B$352))</f>
        <v>83.542501206974237</v>
      </c>
      <c r="C48" s="52">
        <f ca="1">'Raw Data'!C48*($K$2/_xlfn.STDEV.P('Raw Data'!C$2:'Raw Data'!C$352)) + ($J$2-($K$2/_xlfn.STDEV.P('Raw Data'!C$2:'Raw Data'!C$352))*AVERAGE('Raw Data'!C$2:'Raw Data'!C$352))</f>
        <v>82.887935141756927</v>
      </c>
      <c r="D48" s="52">
        <f ca="1">'Raw Data'!D48*($K$2/_xlfn.STDEV.P('Raw Data'!D$2:'Raw Data'!D$352)) + ($J$2-($K$2/_xlfn.STDEV.P('Raw Data'!D$2:'Raw Data'!D$352))*AVERAGE('Raw Data'!D$2:'Raw Data'!D$352))</f>
        <v>84.78</v>
      </c>
      <c r="E48" s="52" t="str">
        <f ca="1">IFERROR($J$4+('Raw Data'!H48-MIN('Raw Data'!H$2:'Raw Data'!H$352))*($J$3-$J$4)/(MAX('Raw Data'!H$2:'Raw Data'!H$352)-MIN('Raw Data'!H$2:'Raw Data'!H$352)),"")</f>
        <v/>
      </c>
      <c r="F48" s="52" t="str">
        <f ca="1">IFERROR($J$4+('Raw Data'!I48-MIN('Raw Data'!I$2:'Raw Data'!I$352))*($J$3-$J$4)/(MAX('Raw Data'!I$2:'Raw Data'!I$352)-MIN('Raw Data'!I$2:'Raw Data'!I$352)),"")</f>
        <v/>
      </c>
      <c r="G48" s="52">
        <f ca="1">IF(Bracket!$I$1="Composite",AVERAGE(B48:F48),IF(Bracket!$I$1="Kenpom",B48,IF(Bracket!$I$1="PVA",C48,IF(Bracket!$I$1="Sagarin Predictor",D48,IF(Bracket!$I$1="No Preseason",AVERAGE(B48:D48),"")))))</f>
        <v>83.736812116243726</v>
      </c>
      <c r="H48" s="63">
        <f t="shared" ca="1" si="0"/>
        <v>38</v>
      </c>
      <c r="I48" s="52"/>
      <c r="J48" s="52"/>
      <c r="K48" s="52"/>
    </row>
    <row r="49" spans="1:11" x14ac:dyDescent="0.3">
      <c r="A49" s="52" t="str">
        <f>'Raw Data'!A49</f>
        <v>Kansas State</v>
      </c>
      <c r="B49" s="52">
        <f ca="1">'Raw Data'!B49*($K$2/_xlfn.STDEV.P('Raw Data'!B$2:'Raw Data'!B$352)) + ($J$2-($K$2/_xlfn.STDEV.P('Raw Data'!B$2:'Raw Data'!B$352))*AVERAGE('Raw Data'!B$2:'Raw Data'!B$352))</f>
        <v>82.501503229260322</v>
      </c>
      <c r="C49" s="52">
        <f ca="1">'Raw Data'!C49*($K$2/_xlfn.STDEV.P('Raw Data'!C$2:'Raw Data'!C$352)) + ($J$2-($K$2/_xlfn.STDEV.P('Raw Data'!C$2:'Raw Data'!C$352))*AVERAGE('Raw Data'!C$2:'Raw Data'!C$352))</f>
        <v>81.724753611383264</v>
      </c>
      <c r="D49" s="52">
        <f ca="1">'Raw Data'!D49*($K$2/_xlfn.STDEV.P('Raw Data'!D$2:'Raw Data'!D$352)) + ($J$2-($K$2/_xlfn.STDEV.P('Raw Data'!D$2:'Raw Data'!D$352))*AVERAGE('Raw Data'!D$2:'Raw Data'!D$352))</f>
        <v>82.36</v>
      </c>
      <c r="E49" s="52" t="str">
        <f ca="1">IFERROR($J$4+('Raw Data'!H49-MIN('Raw Data'!H$2:'Raw Data'!H$352))*($J$3-$J$4)/(MAX('Raw Data'!H$2:'Raw Data'!H$352)-MIN('Raw Data'!H$2:'Raw Data'!H$352)),"")</f>
        <v/>
      </c>
      <c r="F49" s="52" t="str">
        <f ca="1">IFERROR($J$4+('Raw Data'!I49-MIN('Raw Data'!I$2:'Raw Data'!I$352))*($J$3-$J$4)/(MAX('Raw Data'!I$2:'Raw Data'!I$352)-MIN('Raw Data'!I$2:'Raw Data'!I$352)),"")</f>
        <v/>
      </c>
      <c r="G49" s="52">
        <f ca="1">IF(Bracket!$I$1="Composite",AVERAGE(B49:F49),IF(Bracket!$I$1="Kenpom",B49,IF(Bracket!$I$1="PVA",C49,IF(Bracket!$I$1="Sagarin Predictor",D49,IF(Bracket!$I$1="No Preseason",AVERAGE(B49:D49),"")))))</f>
        <v>82.195418946881205</v>
      </c>
      <c r="H49" s="63">
        <f t="shared" ca="1" si="0"/>
        <v>57</v>
      </c>
      <c r="I49" s="52"/>
      <c r="J49" s="52"/>
      <c r="K49" s="52"/>
    </row>
    <row r="50" spans="1:11" x14ac:dyDescent="0.3">
      <c r="A50" s="52" t="str">
        <f>'Raw Data'!A50</f>
        <v>Creighton</v>
      </c>
      <c r="B50" s="52">
        <f ca="1">'Raw Data'!B50*($K$2/_xlfn.STDEV.P('Raw Data'!B$2:'Raw Data'!B$352)) + ($J$2-($K$2/_xlfn.STDEV.P('Raw Data'!B$2:'Raw Data'!B$352))*AVERAGE('Raw Data'!B$2:'Raw Data'!B$352))</f>
        <v>83.798978969599418</v>
      </c>
      <c r="C50" s="52">
        <f ca="1">'Raw Data'!C50*($K$2/_xlfn.STDEV.P('Raw Data'!C$2:'Raw Data'!C$352)) + ($J$2-($K$2/_xlfn.STDEV.P('Raw Data'!C$2:'Raw Data'!C$352))*AVERAGE('Raw Data'!C$2:'Raw Data'!C$352))</f>
        <v>81.983238395910746</v>
      </c>
      <c r="D50" s="52">
        <f ca="1">'Raw Data'!D50*($K$2/_xlfn.STDEV.P('Raw Data'!D$2:'Raw Data'!D$352)) + ($J$2-($K$2/_xlfn.STDEV.P('Raw Data'!D$2:'Raw Data'!D$352))*AVERAGE('Raw Data'!D$2:'Raw Data'!D$352))</f>
        <v>83.14</v>
      </c>
      <c r="E50" s="52" t="str">
        <f ca="1">IFERROR($J$4+('Raw Data'!H50-MIN('Raw Data'!H$2:'Raw Data'!H$352))*($J$3-$J$4)/(MAX('Raw Data'!H$2:'Raw Data'!H$352)-MIN('Raw Data'!H$2:'Raw Data'!H$352)),"")</f>
        <v/>
      </c>
      <c r="F50" s="52" t="str">
        <f ca="1">IFERROR($J$4+('Raw Data'!I50-MIN('Raw Data'!I$2:'Raw Data'!I$352))*($J$3-$J$4)/(MAX('Raw Data'!I$2:'Raw Data'!I$352)-MIN('Raw Data'!I$2:'Raw Data'!I$352)),"")</f>
        <v/>
      </c>
      <c r="G50" s="52">
        <f ca="1">IF(Bracket!$I$1="Composite",AVERAGE(B50:F50),IF(Bracket!$I$1="Kenpom",B50,IF(Bracket!$I$1="PVA",C50,IF(Bracket!$I$1="Sagarin Predictor",D50,IF(Bracket!$I$1="No Preseason",AVERAGE(B50:D50),"")))))</f>
        <v>82.974072455170059</v>
      </c>
      <c r="H50" s="63">
        <f t="shared" ca="1" si="0"/>
        <v>44</v>
      </c>
      <c r="I50" s="52"/>
      <c r="J50" s="52"/>
      <c r="K50" s="52"/>
    </row>
    <row r="51" spans="1:11" x14ac:dyDescent="0.3">
      <c r="A51" s="52" t="str">
        <f>'Raw Data'!A51</f>
        <v>Clemson</v>
      </c>
      <c r="B51" s="52">
        <f ca="1">'Raw Data'!B51*($K$2/_xlfn.STDEV.P('Raw Data'!B$2:'Raw Data'!B$352)) + ($J$2-($K$2/_xlfn.STDEV.P('Raw Data'!B$2:'Raw Data'!B$352))*AVERAGE('Raw Data'!B$2:'Raw Data'!B$352))</f>
        <v>83.04463260893715</v>
      </c>
      <c r="C51" s="52">
        <f ca="1">'Raw Data'!C51*($K$2/_xlfn.STDEV.P('Raw Data'!C$2:'Raw Data'!C$352)) + ($J$2-($K$2/_xlfn.STDEV.P('Raw Data'!C$2:'Raw Data'!C$352))*AVERAGE('Raw Data'!C$2:'Raw Data'!C$352))</f>
        <v>81.983238395910746</v>
      </c>
      <c r="D51" s="52">
        <f ca="1">'Raw Data'!D51*($K$2/_xlfn.STDEV.P('Raw Data'!D$2:'Raw Data'!D$352)) + ($J$2-($K$2/_xlfn.STDEV.P('Raw Data'!D$2:'Raw Data'!D$352))*AVERAGE('Raw Data'!D$2:'Raw Data'!D$352))</f>
        <v>82.24</v>
      </c>
      <c r="E51" s="52" t="str">
        <f ca="1">IFERROR($J$4+('Raw Data'!H51-MIN('Raw Data'!H$2:'Raw Data'!H$352))*($J$3-$J$4)/(MAX('Raw Data'!H$2:'Raw Data'!H$352)-MIN('Raw Data'!H$2:'Raw Data'!H$352)),"")</f>
        <v/>
      </c>
      <c r="F51" s="52" t="str">
        <f ca="1">IFERROR($J$4+('Raw Data'!I51-MIN('Raw Data'!I$2:'Raw Data'!I$352))*($J$3-$J$4)/(MAX('Raw Data'!I$2:'Raw Data'!I$352)-MIN('Raw Data'!I$2:'Raw Data'!I$352)),"")</f>
        <v/>
      </c>
      <c r="G51" s="52">
        <f ca="1">IF(Bracket!$I$1="Composite",AVERAGE(B51:F51),IF(Bracket!$I$1="Kenpom",B51,IF(Bracket!$I$1="PVA",C51,IF(Bracket!$I$1="Sagarin Predictor",D51,IF(Bracket!$I$1="No Preseason",AVERAGE(B51:D51),"")))))</f>
        <v>82.42262366828264</v>
      </c>
      <c r="H51" s="63">
        <f t="shared" ca="1" si="0"/>
        <v>52</v>
      </c>
      <c r="I51" s="52"/>
      <c r="J51" s="52"/>
      <c r="K51" s="52"/>
    </row>
    <row r="52" spans="1:11" x14ac:dyDescent="0.3">
      <c r="A52" s="52" t="str">
        <f>'Raw Data'!A52</f>
        <v>Yale</v>
      </c>
      <c r="B52" s="52">
        <f ca="1">'Raw Data'!B52*($K$2/_xlfn.STDEV.P('Raw Data'!B$2:'Raw Data'!B$352)) + ($J$2-($K$2/_xlfn.STDEV.P('Raw Data'!B$2:'Raw Data'!B$352))*AVERAGE('Raw Data'!B$2:'Raw Data'!B$352))</f>
        <v>84.323249690259686</v>
      </c>
      <c r="C52" s="52">
        <f ca="1">'Raw Data'!C52*($K$2/_xlfn.STDEV.P('Raw Data'!C$2:'Raw Data'!C$352)) + ($J$2-($K$2/_xlfn.STDEV.P('Raw Data'!C$2:'Raw Data'!C$352))*AVERAGE('Raw Data'!C$2:'Raw Data'!C$352))</f>
        <v>81.466268826855782</v>
      </c>
      <c r="D52" s="52">
        <f ca="1">'Raw Data'!D52*($K$2/_xlfn.STDEV.P('Raw Data'!D$2:'Raw Data'!D$352)) + ($J$2-($K$2/_xlfn.STDEV.P('Raw Data'!D$2:'Raw Data'!D$352))*AVERAGE('Raw Data'!D$2:'Raw Data'!D$352))</f>
        <v>81.95</v>
      </c>
      <c r="E52" s="52">
        <f ca="1">IFERROR($J$4+('Raw Data'!H52-MIN('Raw Data'!H$2:'Raw Data'!H$352))*($J$3-$J$4)/(MAX('Raw Data'!H$2:'Raw Data'!H$352)-MIN('Raw Data'!H$2:'Raw Data'!H$352)),"")</f>
        <v>82.31</v>
      </c>
      <c r="F52" s="52" t="str">
        <f ca="1">IFERROR($J$4+('Raw Data'!I52-MIN('Raw Data'!I$2:'Raw Data'!I$352))*($J$3-$J$4)/(MAX('Raw Data'!I$2:'Raw Data'!I$352)-MIN('Raw Data'!I$2:'Raw Data'!I$352)),"")</f>
        <v/>
      </c>
      <c r="G52" s="52">
        <f ca="1">IF(Bracket!$I$1="Composite",AVERAGE(B52:F52),IF(Bracket!$I$1="Kenpom",B52,IF(Bracket!$I$1="PVA",C52,IF(Bracket!$I$1="Sagarin Predictor",D52,IF(Bracket!$I$1="No Preseason",AVERAGE(B52:D52),"")))))</f>
        <v>82.512379629278868</v>
      </c>
      <c r="H52" s="63">
        <f t="shared" ca="1" si="0"/>
        <v>49</v>
      </c>
      <c r="I52" s="52"/>
      <c r="J52" s="52"/>
      <c r="K52" s="52"/>
    </row>
    <row r="53" spans="1:11" x14ac:dyDescent="0.3">
      <c r="A53" s="52" t="str">
        <f>'Raw Data'!A53</f>
        <v>South Carolina</v>
      </c>
      <c r="B53" s="52">
        <f ca="1">'Raw Data'!B53*($K$2/_xlfn.STDEV.P('Raw Data'!B$2:'Raw Data'!B$352)) + ($J$2-($K$2/_xlfn.STDEV.P('Raw Data'!B$2:'Raw Data'!B$352))*AVERAGE('Raw Data'!B$2:'Raw Data'!B$352))</f>
        <v>83.21058880828285</v>
      </c>
      <c r="C53" s="52">
        <f ca="1">'Raw Data'!C53*($K$2/_xlfn.STDEV.P('Raw Data'!C$2:'Raw Data'!C$352)) + ($J$2-($K$2/_xlfn.STDEV.P('Raw Data'!C$2:'Raw Data'!C$352))*AVERAGE('Raw Data'!C$2:'Raw Data'!C$352))</f>
        <v>83.404904710811877</v>
      </c>
      <c r="D53" s="52">
        <f ca="1">'Raw Data'!D53*($K$2/_xlfn.STDEV.P('Raw Data'!D$2:'Raw Data'!D$352)) + ($J$2-($K$2/_xlfn.STDEV.P('Raw Data'!D$2:'Raw Data'!D$352))*AVERAGE('Raw Data'!D$2:'Raw Data'!D$352))</f>
        <v>82.55</v>
      </c>
      <c r="E53" s="52" t="str">
        <f ca="1">IFERROR($J$4+('Raw Data'!H53-MIN('Raw Data'!H$2:'Raw Data'!H$352))*($J$3-$J$4)/(MAX('Raw Data'!H$2:'Raw Data'!H$352)-MIN('Raw Data'!H$2:'Raw Data'!H$352)),"")</f>
        <v/>
      </c>
      <c r="F53" s="52" t="str">
        <f ca="1">IFERROR($J$4+('Raw Data'!I53-MIN('Raw Data'!I$2:'Raw Data'!I$352))*($J$3-$J$4)/(MAX('Raw Data'!I$2:'Raw Data'!I$352)-MIN('Raw Data'!I$2:'Raw Data'!I$352)),"")</f>
        <v/>
      </c>
      <c r="G53" s="52">
        <f ca="1">IF(Bracket!$I$1="Composite",AVERAGE(B53:F53),IF(Bracket!$I$1="Kenpom",B53,IF(Bracket!$I$1="PVA",C53,IF(Bracket!$I$1="Sagarin Predictor",D53,IF(Bracket!$I$1="No Preseason",AVERAGE(B53:D53),"")))))</f>
        <v>83.055164506364918</v>
      </c>
      <c r="H53" s="63">
        <f t="shared" ca="1" si="0"/>
        <v>42</v>
      </c>
      <c r="I53" s="52"/>
      <c r="J53" s="52"/>
      <c r="K53" s="52"/>
    </row>
    <row r="54" spans="1:11" x14ac:dyDescent="0.3">
      <c r="A54" s="52" t="str">
        <f>'Raw Data'!A54</f>
        <v>UCLA</v>
      </c>
      <c r="B54" s="52">
        <f ca="1">'Raw Data'!B54*($K$2/_xlfn.STDEV.P('Raw Data'!B$2:'Raw Data'!B$352)) + ($J$2-($K$2/_xlfn.STDEV.P('Raw Data'!B$2:'Raw Data'!B$352))*AVERAGE('Raw Data'!B$2:'Raw Data'!B$352))</f>
        <v>80.491170178095402</v>
      </c>
      <c r="C54" s="52">
        <f ca="1">'Raw Data'!C54*($K$2/_xlfn.STDEV.P('Raw Data'!C$2:'Raw Data'!C$352)) + ($J$2-($K$2/_xlfn.STDEV.P('Raw Data'!C$2:'Raw Data'!C$352))*AVERAGE('Raw Data'!C$2:'Raw Data'!C$352))</f>
        <v>79.527632942899686</v>
      </c>
      <c r="D54" s="52">
        <f ca="1">'Raw Data'!D54*($K$2/_xlfn.STDEV.P('Raw Data'!D$2:'Raw Data'!D$352)) + ($J$2-($K$2/_xlfn.STDEV.P('Raw Data'!D$2:'Raw Data'!D$352))*AVERAGE('Raw Data'!D$2:'Raw Data'!D$352))</f>
        <v>80.680000000000007</v>
      </c>
      <c r="E54" s="52">
        <f ca="1">IFERROR($J$4+('Raw Data'!H54-MIN('Raw Data'!H$2:'Raw Data'!H$352))*($J$3-$J$4)/(MAX('Raw Data'!H$2:'Raw Data'!H$352)-MIN('Raw Data'!H$2:'Raw Data'!H$352)),"")</f>
        <v>82.316741214057515</v>
      </c>
      <c r="F54" s="52">
        <f ca="1">IFERROR($J$4+('Raw Data'!I54-MIN('Raw Data'!I$2:'Raw Data'!I$352))*($J$3-$J$4)/(MAX('Raw Data'!I$2:'Raw Data'!I$352)-MIN('Raw Data'!I$2:'Raw Data'!I$352)),"")</f>
        <v>82.972901069518713</v>
      </c>
      <c r="G54" s="52">
        <f ca="1">IF(Bracket!$I$1="Composite",AVERAGE(B54:F54),IF(Bracket!$I$1="Kenpom",B54,IF(Bracket!$I$1="PVA",C54,IF(Bracket!$I$1="Sagarin Predictor",D54,IF(Bracket!$I$1="No Preseason",AVERAGE(B54:D54),"")))))</f>
        <v>81.197689080914259</v>
      </c>
      <c r="H54" s="63">
        <f t="shared" ca="1" si="0"/>
        <v>63</v>
      </c>
      <c r="I54" s="52"/>
      <c r="J54" s="52"/>
      <c r="K54" s="52"/>
    </row>
    <row r="55" spans="1:11" x14ac:dyDescent="0.3">
      <c r="A55" s="52" t="str">
        <f>'Raw Data'!A55</f>
        <v>Princeton</v>
      </c>
      <c r="B55" s="52">
        <f ca="1">'Raw Data'!B55*($K$2/_xlfn.STDEV.P('Raw Data'!B$2:'Raw Data'!B$352)) + ($J$2-($K$2/_xlfn.STDEV.P('Raw Data'!B$2:'Raw Data'!B$352))*AVERAGE('Raw Data'!B$2:'Raw Data'!B$352))</f>
        <v>81.445418324333161</v>
      </c>
      <c r="C55" s="52">
        <f ca="1">'Raw Data'!C55*($K$2/_xlfn.STDEV.P('Raw Data'!C$2:'Raw Data'!C$352)) + ($J$2-($K$2/_xlfn.STDEV.P('Raw Data'!C$2:'Raw Data'!C$352))*AVERAGE('Raw Data'!C$2:'Raw Data'!C$352))</f>
        <v>78.622936197053519</v>
      </c>
      <c r="D55" s="52">
        <f ca="1">'Raw Data'!D55*($K$2/_xlfn.STDEV.P('Raw Data'!D$2:'Raw Data'!D$352)) + ($J$2-($K$2/_xlfn.STDEV.P('Raw Data'!D$2:'Raw Data'!D$352))*AVERAGE('Raw Data'!D$2:'Raw Data'!D$352))</f>
        <v>79.91</v>
      </c>
      <c r="E55" s="52" t="str">
        <f ca="1">IFERROR($J$4+('Raw Data'!H55-MIN('Raw Data'!H$2:'Raw Data'!H$352))*($J$3-$J$4)/(MAX('Raw Data'!H$2:'Raw Data'!H$352)-MIN('Raw Data'!H$2:'Raw Data'!H$352)),"")</f>
        <v/>
      </c>
      <c r="F55" s="52" t="str">
        <f ca="1">IFERROR($J$4+('Raw Data'!I55-MIN('Raw Data'!I$2:'Raw Data'!I$352))*($J$3-$J$4)/(MAX('Raw Data'!I$2:'Raw Data'!I$352)-MIN('Raw Data'!I$2:'Raw Data'!I$352)),"")</f>
        <v/>
      </c>
      <c r="G55" s="52">
        <f ca="1">IF(Bracket!$I$1="Composite",AVERAGE(B55:F55),IF(Bracket!$I$1="Kenpom",B55,IF(Bracket!$I$1="PVA",C55,IF(Bracket!$I$1="Sagarin Predictor",D55,IF(Bracket!$I$1="No Preseason",AVERAGE(B55:D55),"")))))</f>
        <v>79.992784840462221</v>
      </c>
      <c r="H55" s="63">
        <f t="shared" ca="1" si="0"/>
        <v>75</v>
      </c>
      <c r="I55" s="52"/>
      <c r="J55" s="52"/>
      <c r="K55" s="52"/>
    </row>
    <row r="56" spans="1:11" x14ac:dyDescent="0.3">
      <c r="A56" s="52" t="str">
        <f>'Raw Data'!A56</f>
        <v>Dayton</v>
      </c>
      <c r="B56" s="52">
        <f ca="1">'Raw Data'!B56*($K$2/_xlfn.STDEV.P('Raw Data'!B$2:'Raw Data'!B$352)) + ($J$2-($K$2/_xlfn.STDEV.P('Raw Data'!B$2:'Raw Data'!B$352))*AVERAGE('Raw Data'!B$2:'Raw Data'!B$352))</f>
        <v>81.460505251546408</v>
      </c>
      <c r="C56" s="52">
        <f ca="1">'Raw Data'!C56*($K$2/_xlfn.STDEV.P('Raw Data'!C$2:'Raw Data'!C$352)) + ($J$2-($K$2/_xlfn.STDEV.P('Raw Data'!C$2:'Raw Data'!C$352))*AVERAGE('Raw Data'!C$2:'Raw Data'!C$352))</f>
        <v>83.275662318548143</v>
      </c>
      <c r="D56" s="52">
        <f ca="1">'Raw Data'!D56*($K$2/_xlfn.STDEV.P('Raw Data'!D$2:'Raw Data'!D$352)) + ($J$2-($K$2/_xlfn.STDEV.P('Raw Data'!D$2:'Raw Data'!D$352))*AVERAGE('Raw Data'!D$2:'Raw Data'!D$352))</f>
        <v>81.84</v>
      </c>
      <c r="E56" s="52">
        <f ca="1">IFERROR($J$4+('Raw Data'!H56-MIN('Raw Data'!H$2:'Raw Data'!H$352))*($J$3-$J$4)/(MAX('Raw Data'!H$2:'Raw Data'!H$352)-MIN('Raw Data'!H$2:'Raw Data'!H$352)),"")</f>
        <v>82.384153354632588</v>
      </c>
      <c r="F56" s="52">
        <f ca="1">IFERROR($J$4+('Raw Data'!I56-MIN('Raw Data'!I$2:'Raw Data'!I$352))*($J$3-$J$4)/(MAX('Raw Data'!I$2:'Raw Data'!I$352)-MIN('Raw Data'!I$2:'Raw Data'!I$352)),"")</f>
        <v>82.31</v>
      </c>
      <c r="G56" s="52">
        <f ca="1">IF(Bracket!$I$1="Composite",AVERAGE(B56:F56),IF(Bracket!$I$1="Kenpom",B56,IF(Bracket!$I$1="PVA",C56,IF(Bracket!$I$1="Sagarin Predictor",D56,IF(Bracket!$I$1="No Preseason",AVERAGE(B56:D56),"")))))</f>
        <v>82.254064184945435</v>
      </c>
      <c r="H56" s="63">
        <f t="shared" ca="1" si="0"/>
        <v>55</v>
      </c>
      <c r="I56" s="52"/>
      <c r="J56" s="52"/>
      <c r="K56" s="52"/>
    </row>
    <row r="57" spans="1:11" x14ac:dyDescent="0.3">
      <c r="A57" s="52" t="str">
        <f>'Raw Data'!A57</f>
        <v>Providence</v>
      </c>
      <c r="B57" s="52">
        <f ca="1">'Raw Data'!B57*($K$2/_xlfn.STDEV.P('Raw Data'!B$2:'Raw Data'!B$352)) + ($J$2-($K$2/_xlfn.STDEV.P('Raw Data'!B$2:'Raw Data'!B$352))*AVERAGE('Raw Data'!B$2:'Raw Data'!B$352))</f>
        <v>83.512327352547757</v>
      </c>
      <c r="C57" s="52">
        <f ca="1">'Raw Data'!C57*($K$2/_xlfn.STDEV.P('Raw Data'!C$2:'Raw Data'!C$352)) + ($J$2-($K$2/_xlfn.STDEV.P('Raw Data'!C$2:'Raw Data'!C$352))*AVERAGE('Raw Data'!C$2:'Raw Data'!C$352))</f>
        <v>82.629450357229445</v>
      </c>
      <c r="D57" s="52">
        <f ca="1">'Raw Data'!D57*($K$2/_xlfn.STDEV.P('Raw Data'!D$2:'Raw Data'!D$352)) + ($J$2-($K$2/_xlfn.STDEV.P('Raw Data'!D$2:'Raw Data'!D$352))*AVERAGE('Raw Data'!D$2:'Raw Data'!D$352))</f>
        <v>82.15</v>
      </c>
      <c r="E57" s="52">
        <f ca="1">IFERROR($J$4+('Raw Data'!H57-MIN('Raw Data'!H$2:'Raw Data'!H$352))*($J$3-$J$4)/(MAX('Raw Data'!H$2:'Raw Data'!H$352)-MIN('Raw Data'!H$2:'Raw Data'!H$352)),"")</f>
        <v>82.370670926517576</v>
      </c>
      <c r="F57" s="52">
        <f ca="1">IFERROR($J$4+('Raw Data'!I57-MIN('Raw Data'!I$2:'Raw Data'!I$352))*($J$3-$J$4)/(MAX('Raw Data'!I$2:'Raw Data'!I$352)-MIN('Raw Data'!I$2:'Raw Data'!I$352)),"")</f>
        <v>82.366417112299473</v>
      </c>
      <c r="G57" s="52">
        <f ca="1">IF(Bracket!$I$1="Composite",AVERAGE(B57:F57),IF(Bracket!$I$1="Kenpom",B57,IF(Bracket!$I$1="PVA",C57,IF(Bracket!$I$1="Sagarin Predictor",D57,IF(Bracket!$I$1="No Preseason",AVERAGE(B57:D57),"")))))</f>
        <v>82.605773149718857</v>
      </c>
      <c r="H57" s="63">
        <f t="shared" ca="1" si="0"/>
        <v>46</v>
      </c>
      <c r="I57" s="52"/>
      <c r="J57" s="52"/>
      <c r="K57" s="52"/>
    </row>
    <row r="58" spans="1:11" x14ac:dyDescent="0.3">
      <c r="A58" s="52" t="str">
        <f>'Raw Data'!A58</f>
        <v>San Diego State</v>
      </c>
      <c r="B58" s="52">
        <f ca="1">'Raw Data'!B58*($K$2/_xlfn.STDEV.P('Raw Data'!B$2:'Raw Data'!B$352)) + ($J$2-($K$2/_xlfn.STDEV.P('Raw Data'!B$2:'Raw Data'!B$352))*AVERAGE('Raw Data'!B$2:'Raw Data'!B$352))</f>
        <v>84.078087123044455</v>
      </c>
      <c r="C58" s="52">
        <f ca="1">'Raw Data'!C58*($K$2/_xlfn.STDEV.P('Raw Data'!C$2:'Raw Data'!C$352)) + ($J$2-($K$2/_xlfn.STDEV.P('Raw Data'!C$2:'Raw Data'!C$352))*AVERAGE('Raw Data'!C$2:'Raw Data'!C$352))</f>
        <v>81.078541650064565</v>
      </c>
      <c r="D58" s="52">
        <f ca="1">'Raw Data'!D58*($K$2/_xlfn.STDEV.P('Raw Data'!D$2:'Raw Data'!D$352)) + ($J$2-($K$2/_xlfn.STDEV.P('Raw Data'!D$2:'Raw Data'!D$352))*AVERAGE('Raw Data'!D$2:'Raw Data'!D$352))</f>
        <v>82.56</v>
      </c>
      <c r="E58" s="52">
        <f ca="1">IFERROR($J$4+('Raw Data'!H58-MIN('Raw Data'!H$2:'Raw Data'!H$352))*($J$3-$J$4)/(MAX('Raw Data'!H$2:'Raw Data'!H$352)-MIN('Raw Data'!H$2:'Raw Data'!H$352)),"")</f>
        <v>82.316741214057515</v>
      </c>
      <c r="F58" s="52">
        <f ca="1">IFERROR($J$4+('Raw Data'!I58-MIN('Raw Data'!I$2:'Raw Data'!I$352))*($J$3-$J$4)/(MAX('Raw Data'!I$2:'Raw Data'!I$352)-MIN('Raw Data'!I$2:'Raw Data'!I$352)),"")</f>
        <v>82.436938502673797</v>
      </c>
      <c r="G58" s="52">
        <f ca="1">IF(Bracket!$I$1="Composite",AVERAGE(B58:F58),IF(Bracket!$I$1="Kenpom",B58,IF(Bracket!$I$1="PVA",C58,IF(Bracket!$I$1="Sagarin Predictor",D58,IF(Bracket!$I$1="No Preseason",AVERAGE(B58:D58),"")))))</f>
        <v>82.494061697968078</v>
      </c>
      <c r="H58" s="63">
        <f t="shared" ca="1" si="0"/>
        <v>50</v>
      </c>
      <c r="I58" s="52"/>
      <c r="J58" s="52"/>
      <c r="K58" s="52"/>
    </row>
    <row r="59" spans="1:11" x14ac:dyDescent="0.3">
      <c r="A59" s="52" t="str">
        <f>'Raw Data'!A59</f>
        <v>BYU</v>
      </c>
      <c r="B59" s="52">
        <f ca="1">'Raw Data'!B59*($K$2/_xlfn.STDEV.P('Raw Data'!B$2:'Raw Data'!B$352)) + ($J$2-($K$2/_xlfn.STDEV.P('Raw Data'!B$2:'Raw Data'!B$352))*AVERAGE('Raw Data'!B$2:'Raw Data'!B$352))</f>
        <v>82.573166133523245</v>
      </c>
      <c r="C59" s="52">
        <f ca="1">'Raw Data'!C59*($K$2/_xlfn.STDEV.P('Raw Data'!C$2:'Raw Data'!C$352)) + ($J$2-($K$2/_xlfn.STDEV.P('Raw Data'!C$2:'Raw Data'!C$352))*AVERAGE('Raw Data'!C$2:'Raw Data'!C$352))</f>
        <v>81.207784042328313</v>
      </c>
      <c r="D59" s="52">
        <f ca="1">'Raw Data'!D59*($K$2/_xlfn.STDEV.P('Raw Data'!D$2:'Raw Data'!D$352)) + ($J$2-($K$2/_xlfn.STDEV.P('Raw Data'!D$2:'Raw Data'!D$352))*AVERAGE('Raw Data'!D$2:'Raw Data'!D$352))</f>
        <v>83.56</v>
      </c>
      <c r="E59" s="52">
        <f ca="1">IFERROR($J$4+('Raw Data'!H59-MIN('Raw Data'!H$2:'Raw Data'!H$352))*($J$3-$J$4)/(MAX('Raw Data'!H$2:'Raw Data'!H$352)-MIN('Raw Data'!H$2:'Raw Data'!H$352)),"")</f>
        <v>82.33696485623004</v>
      </c>
      <c r="F59" s="52" t="str">
        <f ca="1">IFERROR($J$4+('Raw Data'!I59-MIN('Raw Data'!I$2:'Raw Data'!I$352))*($J$3-$J$4)/(MAX('Raw Data'!I$2:'Raw Data'!I$352)-MIN('Raw Data'!I$2:'Raw Data'!I$352)),"")</f>
        <v/>
      </c>
      <c r="G59" s="52">
        <f ca="1">IF(Bracket!$I$1="Composite",AVERAGE(B59:F59),IF(Bracket!$I$1="Kenpom",B59,IF(Bracket!$I$1="PVA",C59,IF(Bracket!$I$1="Sagarin Predictor",D59,IF(Bracket!$I$1="No Preseason",AVERAGE(B59:D59),"")))))</f>
        <v>82.419478758020404</v>
      </c>
      <c r="H59" s="63">
        <f t="shared" ca="1" si="0"/>
        <v>53</v>
      </c>
      <c r="I59" s="52"/>
      <c r="J59" s="52"/>
      <c r="K59" s="52"/>
    </row>
    <row r="60" spans="1:11" x14ac:dyDescent="0.3">
      <c r="A60" s="52" t="str">
        <f>'Raw Data'!A60</f>
        <v>SF Austin</v>
      </c>
      <c r="B60" s="52">
        <f ca="1">'Raw Data'!B60*($K$2/_xlfn.STDEV.P('Raw Data'!B$2:'Raw Data'!B$352)) + ($J$2-($K$2/_xlfn.STDEV.P('Raw Data'!B$2:'Raw Data'!B$352))*AVERAGE('Raw Data'!B$2:'Raw Data'!B$352))</f>
        <v>85.801768557157715</v>
      </c>
      <c r="C60" s="52">
        <f ca="1">'Raw Data'!C60*($K$2/_xlfn.STDEV.P('Raw Data'!C$2:'Raw Data'!C$352)) + ($J$2-($K$2/_xlfn.STDEV.P('Raw Data'!C$2:'Raw Data'!C$352))*AVERAGE('Raw Data'!C$2:'Raw Data'!C$352))</f>
        <v>79.656875335163434</v>
      </c>
      <c r="D60" s="52">
        <f ca="1">'Raw Data'!D60*($K$2/_xlfn.STDEV.P('Raw Data'!D$2:'Raw Data'!D$352)) + ($J$2-($K$2/_xlfn.STDEV.P('Raw Data'!D$2:'Raw Data'!D$352))*AVERAGE('Raw Data'!D$2:'Raw Data'!D$352))</f>
        <v>82.31</v>
      </c>
      <c r="E60" s="52" t="str">
        <f ca="1">IFERROR($J$4+('Raw Data'!H60-MIN('Raw Data'!H$2:'Raw Data'!H$352))*($J$3-$J$4)/(MAX('Raw Data'!H$2:'Raw Data'!H$352)-MIN('Raw Data'!H$2:'Raw Data'!H$352)),"")</f>
        <v/>
      </c>
      <c r="F60" s="52">
        <f ca="1">IFERROR($J$4+('Raw Data'!I60-MIN('Raw Data'!I$2:'Raw Data'!I$352))*($J$3-$J$4)/(MAX('Raw Data'!I$2:'Raw Data'!I$352)-MIN('Raw Data'!I$2:'Raw Data'!I$352)),"")</f>
        <v>82.32410427807487</v>
      </c>
      <c r="G60" s="52">
        <f ca="1">IF(Bracket!$I$1="Composite",AVERAGE(B60:F60),IF(Bracket!$I$1="Kenpom",B60,IF(Bracket!$I$1="PVA",C60,IF(Bracket!$I$1="Sagarin Predictor",D60,IF(Bracket!$I$1="No Preseason",AVERAGE(B60:D60),"")))))</f>
        <v>82.523187042599005</v>
      </c>
      <c r="H60" s="63">
        <f t="shared" ca="1" si="0"/>
        <v>48</v>
      </c>
      <c r="I60" s="52"/>
      <c r="J60" s="52"/>
      <c r="K60" s="52"/>
    </row>
    <row r="61" spans="1:11" x14ac:dyDescent="0.3">
      <c r="A61" s="52" t="str">
        <f>'Raw Data'!A61</f>
        <v>Oregon State</v>
      </c>
      <c r="B61" s="52">
        <f ca="1">'Raw Data'!B61*($K$2/_xlfn.STDEV.P('Raw Data'!B$2:'Raw Data'!B$352)) + ($J$2-($K$2/_xlfn.STDEV.P('Raw Data'!B$2:'Raw Data'!B$352))*AVERAGE('Raw Data'!B$2:'Raw Data'!B$352))</f>
        <v>81.539711619415939</v>
      </c>
      <c r="C61" s="52">
        <f ca="1">'Raw Data'!C61*($K$2/_xlfn.STDEV.P('Raw Data'!C$2:'Raw Data'!C$352)) + ($J$2-($K$2/_xlfn.STDEV.P('Raw Data'!C$2:'Raw Data'!C$352))*AVERAGE('Raw Data'!C$2:'Raw Data'!C$352))</f>
        <v>80.820056865537083</v>
      </c>
      <c r="D61" s="52">
        <f ca="1">'Raw Data'!D61*($K$2/_xlfn.STDEV.P('Raw Data'!D$2:'Raw Data'!D$352)) + ($J$2-($K$2/_xlfn.STDEV.P('Raw Data'!D$2:'Raw Data'!D$352))*AVERAGE('Raw Data'!D$2:'Raw Data'!D$352))</f>
        <v>80.73</v>
      </c>
      <c r="E61" s="52" t="str">
        <f ca="1">IFERROR($J$4+('Raw Data'!H61-MIN('Raw Data'!H$2:'Raw Data'!H$352))*($J$3-$J$4)/(MAX('Raw Data'!H$2:'Raw Data'!H$352)-MIN('Raw Data'!H$2:'Raw Data'!H$352)),"")</f>
        <v/>
      </c>
      <c r="F61" s="52" t="str">
        <f ca="1">IFERROR($J$4+('Raw Data'!I61-MIN('Raw Data'!I$2:'Raw Data'!I$352))*($J$3-$J$4)/(MAX('Raw Data'!I$2:'Raw Data'!I$352)-MIN('Raw Data'!I$2:'Raw Data'!I$352)),"")</f>
        <v/>
      </c>
      <c r="G61" s="52">
        <f ca="1">IF(Bracket!$I$1="Composite",AVERAGE(B61:F61),IF(Bracket!$I$1="Kenpom",B61,IF(Bracket!$I$1="PVA",C61,IF(Bracket!$I$1="Sagarin Predictor",D61,IF(Bracket!$I$1="No Preseason",AVERAGE(B61:D61),"")))))</f>
        <v>81.02992282831768</v>
      </c>
      <c r="H61" s="63">
        <f t="shared" ca="1" si="0"/>
        <v>66</v>
      </c>
      <c r="I61" s="52"/>
      <c r="J61" s="52"/>
      <c r="K61" s="52"/>
    </row>
    <row r="62" spans="1:11" x14ac:dyDescent="0.3">
      <c r="A62" s="52" t="str">
        <f>'Raw Data'!A62</f>
        <v>Houston</v>
      </c>
      <c r="B62" s="52">
        <f ca="1">'Raw Data'!B62*($K$2/_xlfn.STDEV.P('Raw Data'!B$2:'Raw Data'!B$352)) + ($J$2-($K$2/_xlfn.STDEV.P('Raw Data'!B$2:'Raw Data'!B$352))*AVERAGE('Raw Data'!B$2:'Raw Data'!B$352))</f>
        <v>81.6604070371219</v>
      </c>
      <c r="C62" s="52">
        <f ca="1">'Raw Data'!C62*($K$2/_xlfn.STDEV.P('Raw Data'!C$2:'Raw Data'!C$352)) + ($J$2-($K$2/_xlfn.STDEV.P('Raw Data'!C$2:'Raw Data'!C$352))*AVERAGE('Raw Data'!C$2:'Raw Data'!C$352))</f>
        <v>79.915360119690916</v>
      </c>
      <c r="D62" s="52">
        <f ca="1">'Raw Data'!D62*($K$2/_xlfn.STDEV.P('Raw Data'!D$2:'Raw Data'!D$352)) + ($J$2-($K$2/_xlfn.STDEV.P('Raw Data'!D$2:'Raw Data'!D$352))*AVERAGE('Raw Data'!D$2:'Raw Data'!D$352))</f>
        <v>80.319999999999993</v>
      </c>
      <c r="E62" s="52" t="str">
        <f ca="1">IFERROR($J$4+('Raw Data'!H62-MIN('Raw Data'!H$2:'Raw Data'!H$352))*($J$3-$J$4)/(MAX('Raw Data'!H$2:'Raw Data'!H$352)-MIN('Raw Data'!H$2:'Raw Data'!H$352)),"")</f>
        <v/>
      </c>
      <c r="F62" s="52" t="str">
        <f ca="1">IFERROR($J$4+('Raw Data'!I62-MIN('Raw Data'!I$2:'Raw Data'!I$352))*($J$3-$J$4)/(MAX('Raw Data'!I$2:'Raw Data'!I$352)-MIN('Raw Data'!I$2:'Raw Data'!I$352)),"")</f>
        <v/>
      </c>
      <c r="G62" s="52">
        <f ca="1">IF(Bracket!$I$1="Composite",AVERAGE(B62:F62),IF(Bracket!$I$1="Kenpom",B62,IF(Bracket!$I$1="PVA",C62,IF(Bracket!$I$1="Sagarin Predictor",D62,IF(Bracket!$I$1="No Preseason",AVERAGE(B62:D62),"")))))</f>
        <v>80.63192238560427</v>
      </c>
      <c r="H62" s="63">
        <f t="shared" ca="1" si="0"/>
        <v>69</v>
      </c>
      <c r="I62" s="52"/>
      <c r="J62" s="52"/>
      <c r="K62" s="52"/>
    </row>
    <row r="63" spans="1:11" x14ac:dyDescent="0.3">
      <c r="A63" s="52" t="str">
        <f>'Raw Data'!A63</f>
        <v>Georgia Tech</v>
      </c>
      <c r="B63" s="52">
        <f ca="1">'Raw Data'!B63*($K$2/_xlfn.STDEV.P('Raw Data'!B$2:'Raw Data'!B$352)) + ($J$2-($K$2/_xlfn.STDEV.P('Raw Data'!B$2:'Raw Data'!B$352))*AVERAGE('Raw Data'!B$2:'Raw Data'!B$352))</f>
        <v>82.433612056800726</v>
      </c>
      <c r="C63" s="52">
        <f ca="1">'Raw Data'!C63*($K$2/_xlfn.STDEV.P('Raw Data'!C$2:'Raw Data'!C$352)) + ($J$2-($K$2/_xlfn.STDEV.P('Raw Data'!C$2:'Raw Data'!C$352))*AVERAGE('Raw Data'!C$2:'Raw Data'!C$352))</f>
        <v>82.370965572701962</v>
      </c>
      <c r="D63" s="52">
        <f ca="1">'Raw Data'!D63*($K$2/_xlfn.STDEV.P('Raw Data'!D$2:'Raw Data'!D$352)) + ($J$2-($K$2/_xlfn.STDEV.P('Raw Data'!D$2:'Raw Data'!D$352))*AVERAGE('Raw Data'!D$2:'Raw Data'!D$352))</f>
        <v>81.87</v>
      </c>
      <c r="E63" s="52" t="str">
        <f ca="1">IFERROR($J$4+('Raw Data'!H63-MIN('Raw Data'!H$2:'Raw Data'!H$352))*($J$3-$J$4)/(MAX('Raw Data'!H$2:'Raw Data'!H$352)-MIN('Raw Data'!H$2:'Raw Data'!H$352)),"")</f>
        <v/>
      </c>
      <c r="F63" s="52" t="str">
        <f ca="1">IFERROR($J$4+('Raw Data'!I63-MIN('Raw Data'!I$2:'Raw Data'!I$352))*($J$3-$J$4)/(MAX('Raw Data'!I$2:'Raw Data'!I$352)-MIN('Raw Data'!I$2:'Raw Data'!I$352)),"")</f>
        <v/>
      </c>
      <c r="G63" s="52">
        <f ca="1">IF(Bracket!$I$1="Composite",AVERAGE(B63:F63),IF(Bracket!$I$1="Kenpom",B63,IF(Bracket!$I$1="PVA",C63,IF(Bracket!$I$1="Sagarin Predictor",D63,IF(Bracket!$I$1="No Preseason",AVERAGE(B63:D63),"")))))</f>
        <v>82.224859209834236</v>
      </c>
      <c r="H63" s="63">
        <f t="shared" ca="1" si="0"/>
        <v>56</v>
      </c>
      <c r="I63" s="52"/>
      <c r="J63" s="52"/>
      <c r="K63" s="52"/>
    </row>
    <row r="64" spans="1:11" x14ac:dyDescent="0.3">
      <c r="A64" s="52" t="str">
        <f>'Raw Data'!A64</f>
        <v>Monmouth</v>
      </c>
      <c r="B64" s="52">
        <f ca="1">'Raw Data'!B64*($K$2/_xlfn.STDEV.P('Raw Data'!B$2:'Raw Data'!B$352)) + ($J$2-($K$2/_xlfn.STDEV.P('Raw Data'!B$2:'Raw Data'!B$352))*AVERAGE('Raw Data'!B$2:'Raw Data'!B$352))</f>
        <v>80.600550400391427</v>
      </c>
      <c r="C64" s="52">
        <f ca="1">'Raw Data'!C64*($K$2/_xlfn.STDEV.P('Raw Data'!C$2:'Raw Data'!C$352)) + ($J$2-($K$2/_xlfn.STDEV.P('Raw Data'!C$2:'Raw Data'!C$352))*AVERAGE('Raw Data'!C$2:'Raw Data'!C$352))</f>
        <v>78.622936197053519</v>
      </c>
      <c r="D64" s="52">
        <f ca="1">'Raw Data'!D64*($K$2/_xlfn.STDEV.P('Raw Data'!D$2:'Raw Data'!D$352)) + ($J$2-($K$2/_xlfn.STDEV.P('Raw Data'!D$2:'Raw Data'!D$352))*AVERAGE('Raw Data'!D$2:'Raw Data'!D$352))</f>
        <v>78.56</v>
      </c>
      <c r="E64" s="52" t="str">
        <f ca="1">IFERROR($J$4+('Raw Data'!H64-MIN('Raw Data'!H$2:'Raw Data'!H$352))*($J$3-$J$4)/(MAX('Raw Data'!H$2:'Raw Data'!H$352)-MIN('Raw Data'!H$2:'Raw Data'!H$352)),"")</f>
        <v/>
      </c>
      <c r="F64" s="52" t="str">
        <f ca="1">IFERROR($J$4+('Raw Data'!I64-MIN('Raw Data'!I$2:'Raw Data'!I$352))*($J$3-$J$4)/(MAX('Raw Data'!I$2:'Raw Data'!I$352)-MIN('Raw Data'!I$2:'Raw Data'!I$352)),"")</f>
        <v/>
      </c>
      <c r="G64" s="52">
        <f ca="1">IF(Bracket!$I$1="Composite",AVERAGE(B64:F64),IF(Bracket!$I$1="Kenpom",B64,IF(Bracket!$I$1="PVA",C64,IF(Bracket!$I$1="Sagarin Predictor",D64,IF(Bracket!$I$1="No Preseason",AVERAGE(B64:D64),"")))))</f>
        <v>79.261162199148316</v>
      </c>
      <c r="H64" s="63">
        <f t="shared" ca="1" si="0"/>
        <v>82</v>
      </c>
      <c r="I64" s="52"/>
      <c r="J64" s="52"/>
      <c r="K64" s="52"/>
    </row>
    <row r="65" spans="1:11" x14ac:dyDescent="0.3">
      <c r="A65" s="52" t="str">
        <f>'Raw Data'!A65</f>
        <v>Colorado</v>
      </c>
      <c r="B65" s="52">
        <f ca="1">'Raw Data'!B65*($K$2/_xlfn.STDEV.P('Raw Data'!B$2:'Raw Data'!B$352)) + ($J$2-($K$2/_xlfn.STDEV.P('Raw Data'!B$2:'Raw Data'!B$352))*AVERAGE('Raw Data'!B$2:'Raw Data'!B$352))</f>
        <v>82.071525803682832</v>
      </c>
      <c r="C65" s="52">
        <f ca="1">'Raw Data'!C65*($K$2/_xlfn.STDEV.P('Raw Data'!C$2:'Raw Data'!C$352)) + ($J$2-($K$2/_xlfn.STDEV.P('Raw Data'!C$2:'Raw Data'!C$352))*AVERAGE('Raw Data'!C$2:'Raw Data'!C$352))</f>
        <v>82.887935141756927</v>
      </c>
      <c r="D65" s="52">
        <f ca="1">'Raw Data'!D65*($K$2/_xlfn.STDEV.P('Raw Data'!D$2:'Raw Data'!D$352)) + ($J$2-($K$2/_xlfn.STDEV.P('Raw Data'!D$2:'Raw Data'!D$352))*AVERAGE('Raw Data'!D$2:'Raw Data'!D$352))</f>
        <v>82.05</v>
      </c>
      <c r="E65" s="52" t="str">
        <f ca="1">IFERROR($J$4+('Raw Data'!H65-MIN('Raw Data'!H$2:'Raw Data'!H$352))*($J$3-$J$4)/(MAX('Raw Data'!H$2:'Raw Data'!H$352)-MIN('Raw Data'!H$2:'Raw Data'!H$352)),"")</f>
        <v/>
      </c>
      <c r="F65" s="52" t="str">
        <f ca="1">IFERROR($J$4+('Raw Data'!I65-MIN('Raw Data'!I$2:'Raw Data'!I$352))*($J$3-$J$4)/(MAX('Raw Data'!I$2:'Raw Data'!I$352)-MIN('Raw Data'!I$2:'Raw Data'!I$352)),"")</f>
        <v/>
      </c>
      <c r="G65" s="52">
        <f ca="1">IF(Bracket!$I$1="Composite",AVERAGE(B65:F65),IF(Bracket!$I$1="Kenpom",B65,IF(Bracket!$I$1="PVA",C65,IF(Bracket!$I$1="Sagarin Predictor",D65,IF(Bracket!$I$1="No Preseason",AVERAGE(B65:D65),"")))))</f>
        <v>82.336486981813252</v>
      </c>
      <c r="H65" s="63">
        <f t="shared" ca="1" si="0"/>
        <v>54</v>
      </c>
      <c r="I65" s="52"/>
      <c r="J65" s="52"/>
      <c r="K65" s="52"/>
    </row>
    <row r="66" spans="1:11" x14ac:dyDescent="0.3">
      <c r="A66" s="52" t="str">
        <f>'Raw Data'!A66</f>
        <v>Washington</v>
      </c>
      <c r="B66" s="52">
        <f ca="1">'Raw Data'!B66*($K$2/_xlfn.STDEV.P('Raw Data'!B$2:'Raw Data'!B$352)) + ($J$2-($K$2/_xlfn.STDEV.P('Raw Data'!B$2:'Raw Data'!B$352))*AVERAGE('Raw Data'!B$2:'Raw Data'!B$352))</f>
        <v>81.48690737416959</v>
      </c>
      <c r="C66" s="52">
        <f ca="1">'Raw Data'!C66*($K$2/_xlfn.STDEV.P('Raw Data'!C$2:'Raw Data'!C$352)) + ($J$2-($K$2/_xlfn.STDEV.P('Raw Data'!C$2:'Raw Data'!C$352))*AVERAGE('Raw Data'!C$2:'Raw Data'!C$352))</f>
        <v>81.466268826855782</v>
      </c>
      <c r="D66" s="52">
        <f ca="1">'Raw Data'!D66*($K$2/_xlfn.STDEV.P('Raw Data'!D$2:'Raw Data'!D$352)) + ($J$2-($K$2/_xlfn.STDEV.P('Raw Data'!D$2:'Raw Data'!D$352))*AVERAGE('Raw Data'!D$2:'Raw Data'!D$352))</f>
        <v>81.17</v>
      </c>
      <c r="E66" s="52" t="str">
        <f ca="1">IFERROR($J$4+('Raw Data'!H66-MIN('Raw Data'!H$2:'Raw Data'!H$352))*($J$3-$J$4)/(MAX('Raw Data'!H$2:'Raw Data'!H$352)-MIN('Raw Data'!H$2:'Raw Data'!H$352)),"")</f>
        <v/>
      </c>
      <c r="F66" s="52" t="str">
        <f ca="1">IFERROR($J$4+('Raw Data'!I66-MIN('Raw Data'!I$2:'Raw Data'!I$352))*($J$3-$J$4)/(MAX('Raw Data'!I$2:'Raw Data'!I$352)-MIN('Raw Data'!I$2:'Raw Data'!I$352)),"")</f>
        <v/>
      </c>
      <c r="G66" s="52">
        <f ca="1">IF(Bracket!$I$1="Composite",AVERAGE(B66:F66),IF(Bracket!$I$1="Kenpom",B66,IF(Bracket!$I$1="PVA",C66,IF(Bracket!$I$1="Sagarin Predictor",D66,IF(Bracket!$I$1="No Preseason",AVERAGE(B66:D66),"")))))</f>
        <v>81.374392067008458</v>
      </c>
      <c r="H66" s="63">
        <f t="shared" ca="1" si="0"/>
        <v>62</v>
      </c>
      <c r="I66" s="52"/>
      <c r="J66" s="52"/>
      <c r="K66" s="52"/>
    </row>
    <row r="67" spans="1:11" x14ac:dyDescent="0.3">
      <c r="A67" s="52" t="str">
        <f>'Raw Data'!A67</f>
        <v>NC State</v>
      </c>
      <c r="B67" s="52">
        <f ca="1">'Raw Data'!B67*($K$2/_xlfn.STDEV.P('Raw Data'!B$2:'Raw Data'!B$352)) + ($J$2-($K$2/_xlfn.STDEV.P('Raw Data'!B$2:'Raw Data'!B$352))*AVERAGE('Raw Data'!B$2:'Raw Data'!B$352))</f>
        <v>80.125312193174196</v>
      </c>
      <c r="C67" s="52">
        <f ca="1">'Raw Data'!C67*($K$2/_xlfn.STDEV.P('Raw Data'!C$2:'Raw Data'!C$352)) + ($J$2-($K$2/_xlfn.STDEV.P('Raw Data'!C$2:'Raw Data'!C$352))*AVERAGE('Raw Data'!C$2:'Raw Data'!C$352))</f>
        <v>79.398390550635952</v>
      </c>
      <c r="D67" s="52">
        <f ca="1">'Raw Data'!D67*($K$2/_xlfn.STDEV.P('Raw Data'!D$2:'Raw Data'!D$352)) + ($J$2-($K$2/_xlfn.STDEV.P('Raw Data'!D$2:'Raw Data'!D$352))*AVERAGE('Raw Data'!D$2:'Raw Data'!D$352))</f>
        <v>79.92</v>
      </c>
      <c r="E67" s="52">
        <f ca="1">IFERROR($J$4+('Raw Data'!H67-MIN('Raw Data'!H$2:'Raw Data'!H$352))*($J$3-$J$4)/(MAX('Raw Data'!H$2:'Raw Data'!H$352)-MIN('Raw Data'!H$2:'Raw Data'!H$352)),"")</f>
        <v>82.43134185303515</v>
      </c>
      <c r="F67" s="52">
        <f ca="1">IFERROR($J$4+('Raw Data'!I67-MIN('Raw Data'!I$2:'Raw Data'!I$352))*($J$3-$J$4)/(MAX('Raw Data'!I$2:'Raw Data'!I$352)-MIN('Raw Data'!I$2:'Raw Data'!I$352)),"")</f>
        <v>82.803649732620329</v>
      </c>
      <c r="G67" s="52">
        <f ca="1">IF(Bracket!$I$1="Composite",AVERAGE(B67:F67),IF(Bracket!$I$1="Kenpom",B67,IF(Bracket!$I$1="PVA",C67,IF(Bracket!$I$1="Sagarin Predictor",D67,IF(Bracket!$I$1="No Preseason",AVERAGE(B67:D67),"")))))</f>
        <v>80.935738865893128</v>
      </c>
      <c r="H67" s="63">
        <f t="shared" ref="H67:H130" ca="1" si="1">RANK(G67,$G$2:$G$352)</f>
        <v>67</v>
      </c>
      <c r="I67" s="52"/>
      <c r="J67" s="52"/>
      <c r="K67" s="52"/>
    </row>
    <row r="68" spans="1:11" x14ac:dyDescent="0.3">
      <c r="A68" s="52" t="str">
        <f>'Raw Data'!A68</f>
        <v>Arkansas</v>
      </c>
      <c r="B68" s="52">
        <f ca="1">'Raw Data'!B68*($K$2/_xlfn.STDEV.P('Raw Data'!B$2:'Raw Data'!B$352)) + ($J$2-($K$2/_xlfn.STDEV.P('Raw Data'!B$2:'Raw Data'!B$352))*AVERAGE('Raw Data'!B$2:'Raw Data'!B$352))</f>
        <v>79.880149625958964</v>
      </c>
      <c r="C68" s="52">
        <f ca="1">'Raw Data'!C68*($K$2/_xlfn.STDEV.P('Raw Data'!C$2:'Raw Data'!C$352)) + ($J$2-($K$2/_xlfn.STDEV.P('Raw Data'!C$2:'Raw Data'!C$352))*AVERAGE('Raw Data'!C$2:'Raw Data'!C$352))</f>
        <v>80.04460251195465</v>
      </c>
      <c r="D68" s="52">
        <f ca="1">'Raw Data'!D68*($K$2/_xlfn.STDEV.P('Raw Data'!D$2:'Raw Data'!D$352)) + ($J$2-($K$2/_xlfn.STDEV.P('Raw Data'!D$2:'Raw Data'!D$352))*AVERAGE('Raw Data'!D$2:'Raw Data'!D$352))</f>
        <v>80.37</v>
      </c>
      <c r="E68" s="52" t="str">
        <f ca="1">IFERROR($J$4+('Raw Data'!H68-MIN('Raw Data'!H$2:'Raw Data'!H$352))*($J$3-$J$4)/(MAX('Raw Data'!H$2:'Raw Data'!H$352)-MIN('Raw Data'!H$2:'Raw Data'!H$352)),"")</f>
        <v/>
      </c>
      <c r="F68" s="52" t="str">
        <f ca="1">IFERROR($J$4+('Raw Data'!I68-MIN('Raw Data'!I$2:'Raw Data'!I$352))*($J$3-$J$4)/(MAX('Raw Data'!I$2:'Raw Data'!I$352)-MIN('Raw Data'!I$2:'Raw Data'!I$352)),"")</f>
        <v/>
      </c>
      <c r="G68" s="52">
        <f ca="1">IF(Bracket!$I$1="Composite",AVERAGE(B68:F68),IF(Bracket!$I$1="Kenpom",B68,IF(Bracket!$I$1="PVA",C68,IF(Bracket!$I$1="Sagarin Predictor",D68,IF(Bracket!$I$1="No Preseason",AVERAGE(B68:D68),"")))))</f>
        <v>80.098250712637878</v>
      </c>
      <c r="H68" s="63">
        <f t="shared" ca="1" si="1"/>
        <v>73</v>
      </c>
      <c r="I68" s="52"/>
      <c r="J68" s="52"/>
      <c r="K68" s="52"/>
    </row>
    <row r="69" spans="1:11" x14ac:dyDescent="0.3">
      <c r="A69" s="52" t="str">
        <f>'Raw Data'!A69</f>
        <v>Ohio State</v>
      </c>
      <c r="B69" s="52">
        <f ca="1">'Raw Data'!B69*($K$2/_xlfn.STDEV.P('Raw Data'!B$2:'Raw Data'!B$352)) + ($J$2-($K$2/_xlfn.STDEV.P('Raw Data'!B$2:'Raw Data'!B$352))*AVERAGE('Raw Data'!B$2:'Raw Data'!B$352))</f>
        <v>80.792908722360295</v>
      </c>
      <c r="C69" s="52">
        <f ca="1">'Raw Data'!C69*($K$2/_xlfn.STDEV.P('Raw Data'!C$2:'Raw Data'!C$352)) + ($J$2-($K$2/_xlfn.STDEV.P('Raw Data'!C$2:'Raw Data'!C$352))*AVERAGE('Raw Data'!C$2:'Raw Data'!C$352))</f>
        <v>80.04460251195465</v>
      </c>
      <c r="D69" s="52">
        <f ca="1">'Raw Data'!D69*($K$2/_xlfn.STDEV.P('Raw Data'!D$2:'Raw Data'!D$352)) + ($J$2-($K$2/_xlfn.STDEV.P('Raw Data'!D$2:'Raw Data'!D$352))*AVERAGE('Raw Data'!D$2:'Raw Data'!D$352))</f>
        <v>80.14</v>
      </c>
      <c r="E69" s="52" t="str">
        <f ca="1">IFERROR($J$4+('Raw Data'!H69-MIN('Raw Data'!H$2:'Raw Data'!H$352))*($J$3-$J$4)/(MAX('Raw Data'!H$2:'Raw Data'!H$352)-MIN('Raw Data'!H$2:'Raw Data'!H$352)),"")</f>
        <v/>
      </c>
      <c r="F69" s="52">
        <f ca="1">IFERROR($J$4+('Raw Data'!I69-MIN('Raw Data'!I$2:'Raw Data'!I$352))*($J$3-$J$4)/(MAX('Raw Data'!I$2:'Raw Data'!I$352)-MIN('Raw Data'!I$2:'Raw Data'!I$352)),"")</f>
        <v>82.32410427807487</v>
      </c>
      <c r="G69" s="52">
        <f ca="1">IF(Bracket!$I$1="Composite",AVERAGE(B69:F69),IF(Bracket!$I$1="Kenpom",B69,IF(Bracket!$I$1="PVA",C69,IF(Bracket!$I$1="Sagarin Predictor",D69,IF(Bracket!$I$1="No Preseason",AVERAGE(B69:D69),"")))))</f>
        <v>80.825403878097447</v>
      </c>
      <c r="H69" s="63">
        <f t="shared" ca="1" si="1"/>
        <v>68</v>
      </c>
      <c r="I69" s="52"/>
      <c r="J69" s="52"/>
      <c r="K69" s="52"/>
    </row>
    <row r="70" spans="1:11" x14ac:dyDescent="0.3">
      <c r="A70" s="52" t="str">
        <f>'Raw Data'!A70</f>
        <v>South Dakota St</v>
      </c>
      <c r="B70" s="52">
        <f ca="1">'Raw Data'!B70*($K$2/_xlfn.STDEV.P('Raw Data'!B$2:'Raw Data'!B$352)) + ($J$2-($K$2/_xlfn.STDEV.P('Raw Data'!B$2:'Raw Data'!B$352))*AVERAGE('Raw Data'!B$2:'Raw Data'!B$352))</f>
        <v>80.408192078422559</v>
      </c>
      <c r="C70" s="52">
        <f ca="1">'Raw Data'!C70*($K$2/_xlfn.STDEV.P('Raw Data'!C$2:'Raw Data'!C$352)) + ($J$2-($K$2/_xlfn.STDEV.P('Raw Data'!C$2:'Raw Data'!C$352))*AVERAGE('Raw Data'!C$2:'Raw Data'!C$352))</f>
        <v>79.13990576610847</v>
      </c>
      <c r="D70" s="52">
        <f ca="1">'Raw Data'!D70*($K$2/_xlfn.STDEV.P('Raw Data'!D$2:'Raw Data'!D$352)) + ($J$2-($K$2/_xlfn.STDEV.P('Raw Data'!D$2:'Raw Data'!D$352))*AVERAGE('Raw Data'!D$2:'Raw Data'!D$352))</f>
        <v>78.23</v>
      </c>
      <c r="E70" s="52" t="str">
        <f ca="1">IFERROR($J$4+('Raw Data'!H70-MIN('Raw Data'!H$2:'Raw Data'!H$352))*($J$3-$J$4)/(MAX('Raw Data'!H$2:'Raw Data'!H$352)-MIN('Raw Data'!H$2:'Raw Data'!H$352)),"")</f>
        <v/>
      </c>
      <c r="F70" s="52" t="str">
        <f ca="1">IFERROR($J$4+('Raw Data'!I70-MIN('Raw Data'!I$2:'Raw Data'!I$352))*($J$3-$J$4)/(MAX('Raw Data'!I$2:'Raw Data'!I$352)-MIN('Raw Data'!I$2:'Raw Data'!I$352)),"")</f>
        <v/>
      </c>
      <c r="G70" s="52">
        <f ca="1">IF(Bracket!$I$1="Composite",AVERAGE(B70:F70),IF(Bracket!$I$1="Kenpom",B70,IF(Bracket!$I$1="PVA",C70,IF(Bracket!$I$1="Sagarin Predictor",D70,IF(Bracket!$I$1="No Preseason",AVERAGE(B70:D70),"")))))</f>
        <v>79.259365948177006</v>
      </c>
      <c r="H70" s="63">
        <f t="shared" ca="1" si="1"/>
        <v>83</v>
      </c>
      <c r="I70" s="52"/>
      <c r="J70" s="52"/>
      <c r="K70" s="52"/>
    </row>
    <row r="71" spans="1:11" x14ac:dyDescent="0.3">
      <c r="A71" s="52" t="str">
        <f>'Raw Data'!A71</f>
        <v>Hawaii</v>
      </c>
      <c r="B71" s="52">
        <f ca="1">'Raw Data'!B71*($K$2/_xlfn.STDEV.P('Raw Data'!B$2:'Raw Data'!B$352)) + ($J$2-($K$2/_xlfn.STDEV.P('Raw Data'!B$2:'Raw Data'!B$352))*AVERAGE('Raw Data'!B$2:'Raw Data'!B$352))</f>
        <v>83.063491267953708</v>
      </c>
      <c r="C71" s="52">
        <f ca="1">'Raw Data'!C71*($K$2/_xlfn.STDEV.P('Raw Data'!C$2:'Raw Data'!C$352)) + ($J$2-($K$2/_xlfn.STDEV.P('Raw Data'!C$2:'Raw Data'!C$352))*AVERAGE('Raw Data'!C$2:'Raw Data'!C$352))</f>
        <v>79.915360119690916</v>
      </c>
      <c r="D71" s="52">
        <f ca="1">'Raw Data'!D71*($K$2/_xlfn.STDEV.P('Raw Data'!D$2:'Raw Data'!D$352)) + ($J$2-($K$2/_xlfn.STDEV.P('Raw Data'!D$2:'Raw Data'!D$352))*AVERAGE('Raw Data'!D$2:'Raw Data'!D$352))</f>
        <v>80.48</v>
      </c>
      <c r="E71" s="52" t="str">
        <f ca="1">IFERROR($J$4+('Raw Data'!H71-MIN('Raw Data'!H$2:'Raw Data'!H$352))*($J$3-$J$4)/(MAX('Raw Data'!H$2:'Raw Data'!H$352)-MIN('Raw Data'!H$2:'Raw Data'!H$352)),"")</f>
        <v/>
      </c>
      <c r="F71" s="52" t="str">
        <f ca="1">IFERROR($J$4+('Raw Data'!I71-MIN('Raw Data'!I$2:'Raw Data'!I$352))*($J$3-$J$4)/(MAX('Raw Data'!I$2:'Raw Data'!I$352)-MIN('Raw Data'!I$2:'Raw Data'!I$352)),"")</f>
        <v/>
      </c>
      <c r="G71" s="52">
        <f ca="1">IF(Bracket!$I$1="Composite",AVERAGE(B71:F71),IF(Bracket!$I$1="Kenpom",B71,IF(Bracket!$I$1="PVA",C71,IF(Bracket!$I$1="Sagarin Predictor",D71,IF(Bracket!$I$1="No Preseason",AVERAGE(B71:D71),"")))))</f>
        <v>81.152950462548219</v>
      </c>
      <c r="H71" s="63">
        <f t="shared" ca="1" si="1"/>
        <v>64</v>
      </c>
      <c r="I71" s="52"/>
      <c r="J71" s="52"/>
      <c r="K71" s="52"/>
    </row>
    <row r="72" spans="1:11" x14ac:dyDescent="0.3">
      <c r="A72" s="52" t="str">
        <f>'Raw Data'!A72</f>
        <v>Mississippi St</v>
      </c>
      <c r="B72" s="52">
        <f ca="1">'Raw Data'!B72*($K$2/_xlfn.STDEV.P('Raw Data'!B$2:'Raw Data'!B$352)) + ($J$2-($K$2/_xlfn.STDEV.P('Raw Data'!B$2:'Raw Data'!B$352))*AVERAGE('Raw Data'!B$2:'Raw Data'!B$352))</f>
        <v>80.174344706617248</v>
      </c>
      <c r="C72" s="52">
        <f ca="1">'Raw Data'!C72*($K$2/_xlfn.STDEV.P('Raw Data'!C$2:'Raw Data'!C$352)) + ($J$2-($K$2/_xlfn.STDEV.P('Raw Data'!C$2:'Raw Data'!C$352))*AVERAGE('Raw Data'!C$2:'Raw Data'!C$352))</f>
        <v>78.622936197053519</v>
      </c>
      <c r="D72" s="52">
        <f ca="1">'Raw Data'!D72*($K$2/_xlfn.STDEV.P('Raw Data'!D$2:'Raw Data'!D$352)) + ($J$2-($K$2/_xlfn.STDEV.P('Raw Data'!D$2:'Raw Data'!D$352))*AVERAGE('Raw Data'!D$2:'Raw Data'!D$352))</f>
        <v>79.02</v>
      </c>
      <c r="E72" s="52" t="str">
        <f ca="1">IFERROR($J$4+('Raw Data'!H72-MIN('Raw Data'!H$2:'Raw Data'!H$352))*($J$3-$J$4)/(MAX('Raw Data'!H$2:'Raw Data'!H$352)-MIN('Raw Data'!H$2:'Raw Data'!H$352)),"")</f>
        <v/>
      </c>
      <c r="F72" s="52" t="str">
        <f ca="1">IFERROR($J$4+('Raw Data'!I72-MIN('Raw Data'!I$2:'Raw Data'!I$352))*($J$3-$J$4)/(MAX('Raw Data'!I$2:'Raw Data'!I$352)-MIN('Raw Data'!I$2:'Raw Data'!I$352)),"")</f>
        <v/>
      </c>
      <c r="G72" s="52">
        <f ca="1">IF(Bracket!$I$1="Composite",AVERAGE(B72:F72),IF(Bracket!$I$1="Kenpom",B72,IF(Bracket!$I$1="PVA",C72,IF(Bracket!$I$1="Sagarin Predictor",D72,IF(Bracket!$I$1="No Preseason",AVERAGE(B72:D72),"")))))</f>
        <v>79.27242696789024</v>
      </c>
      <c r="H72" s="63">
        <f t="shared" ca="1" si="1"/>
        <v>81</v>
      </c>
      <c r="I72" s="52"/>
      <c r="J72" s="52"/>
      <c r="K72" s="52"/>
    </row>
    <row r="73" spans="1:11" x14ac:dyDescent="0.3">
      <c r="A73" s="52" t="str">
        <f>'Raw Data'!A73</f>
        <v>G Washington</v>
      </c>
      <c r="B73" s="52">
        <f ca="1">'Raw Data'!B73*($K$2/_xlfn.STDEV.P('Raw Data'!B$2:'Raw Data'!B$352)) + ($J$2-($K$2/_xlfn.STDEV.P('Raw Data'!B$2:'Raw Data'!B$352))*AVERAGE('Raw Data'!B$2:'Raw Data'!B$352))</f>
        <v>80.0574210207146</v>
      </c>
      <c r="C73" s="52">
        <f ca="1">'Raw Data'!C73*($K$2/_xlfn.STDEV.P('Raw Data'!C$2:'Raw Data'!C$352)) + ($J$2-($K$2/_xlfn.STDEV.P('Raw Data'!C$2:'Raw Data'!C$352))*AVERAGE('Raw Data'!C$2:'Raw Data'!C$352))</f>
        <v>80.949299257800831</v>
      </c>
      <c r="D73" s="52">
        <f ca="1">'Raw Data'!D73*($K$2/_xlfn.STDEV.P('Raw Data'!D$2:'Raw Data'!D$352)) + ($J$2-($K$2/_xlfn.STDEV.P('Raw Data'!D$2:'Raw Data'!D$352))*AVERAGE('Raw Data'!D$2:'Raw Data'!D$352))</f>
        <v>80.37</v>
      </c>
      <c r="E73" s="52" t="str">
        <f ca="1">IFERROR($J$4+('Raw Data'!H73-MIN('Raw Data'!H$2:'Raw Data'!H$352))*($J$3-$J$4)/(MAX('Raw Data'!H$2:'Raw Data'!H$352)-MIN('Raw Data'!H$2:'Raw Data'!H$352)),"")</f>
        <v/>
      </c>
      <c r="F73" s="52" t="str">
        <f ca="1">IFERROR($J$4+('Raw Data'!I73-MIN('Raw Data'!I$2:'Raw Data'!I$352))*($J$3-$J$4)/(MAX('Raw Data'!I$2:'Raw Data'!I$352)-MIN('Raw Data'!I$2:'Raw Data'!I$352)),"")</f>
        <v/>
      </c>
      <c r="G73" s="52">
        <f ca="1">IF(Bracket!$I$1="Composite",AVERAGE(B73:F73),IF(Bracket!$I$1="Kenpom",B73,IF(Bracket!$I$1="PVA",C73,IF(Bracket!$I$1="Sagarin Predictor",D73,IF(Bracket!$I$1="No Preseason",AVERAGE(B73:D73),"")))))</f>
        <v>80.458906759505155</v>
      </c>
      <c r="H73" s="63">
        <f t="shared" ca="1" si="1"/>
        <v>71</v>
      </c>
      <c r="I73" s="52"/>
      <c r="J73" s="52"/>
      <c r="K73" s="52"/>
    </row>
    <row r="74" spans="1:11" x14ac:dyDescent="0.3">
      <c r="A74" s="52" t="str">
        <f>'Raw Data'!A74</f>
        <v>Georgetown</v>
      </c>
      <c r="B74" s="52">
        <f ca="1">'Raw Data'!B74*($K$2/_xlfn.STDEV.P('Raw Data'!B$2:'Raw Data'!B$352)) + ($J$2-($K$2/_xlfn.STDEV.P('Raw Data'!B$2:'Raw Data'!B$352))*AVERAGE('Raw Data'!B$2:'Raw Data'!B$352))</f>
        <v>81.173853634494748</v>
      </c>
      <c r="C74" s="52">
        <f ca="1">'Raw Data'!C74*($K$2/_xlfn.STDEV.P('Raw Data'!C$2:'Raw Data'!C$352)) + ($J$2-($K$2/_xlfn.STDEV.P('Raw Data'!C$2:'Raw Data'!C$352))*AVERAGE('Raw Data'!C$2:'Raw Data'!C$352))</f>
        <v>80.173844904218384</v>
      </c>
      <c r="D74" s="52">
        <f ca="1">'Raw Data'!D74*($K$2/_xlfn.STDEV.P('Raw Data'!D$2:'Raw Data'!D$352)) + ($J$2-($K$2/_xlfn.STDEV.P('Raw Data'!D$2:'Raw Data'!D$352))*AVERAGE('Raw Data'!D$2:'Raw Data'!D$352))</f>
        <v>80.709999999999994</v>
      </c>
      <c r="E74" s="52">
        <f ca="1">IFERROR($J$4+('Raw Data'!H74-MIN('Raw Data'!H$2:'Raw Data'!H$352))*($J$3-$J$4)/(MAX('Raw Data'!H$2:'Raw Data'!H$352)-MIN('Raw Data'!H$2:'Raw Data'!H$352)),"")</f>
        <v>82.458306709265173</v>
      </c>
      <c r="F74" s="52">
        <f ca="1">IFERROR($J$4+('Raw Data'!I74-MIN('Raw Data'!I$2:'Raw Data'!I$352))*($J$3-$J$4)/(MAX('Raw Data'!I$2:'Raw Data'!I$352)-MIN('Raw Data'!I$2:'Raw Data'!I$352)),"")</f>
        <v>82.930588235294124</v>
      </c>
      <c r="G74" s="52">
        <f ca="1">IF(Bracket!$I$1="Composite",AVERAGE(B74:F74),IF(Bracket!$I$1="Kenpom",B74,IF(Bracket!$I$1="PVA",C74,IF(Bracket!$I$1="Sagarin Predictor",D74,IF(Bracket!$I$1="No Preseason",AVERAGE(B74:D74),"")))))</f>
        <v>81.489318696654479</v>
      </c>
      <c r="H74" s="63">
        <f t="shared" ca="1" si="1"/>
        <v>60</v>
      </c>
      <c r="I74" s="52"/>
      <c r="J74" s="52"/>
      <c r="K74" s="52"/>
    </row>
    <row r="75" spans="1:11" x14ac:dyDescent="0.3">
      <c r="A75" s="52" t="str">
        <f>'Raw Data'!A75</f>
        <v>LSU</v>
      </c>
      <c r="B75" s="52">
        <f ca="1">'Raw Data'!B75*($K$2/_xlfn.STDEV.P('Raw Data'!B$2:'Raw Data'!B$352)) + ($J$2-($K$2/_xlfn.STDEV.P('Raw Data'!B$2:'Raw Data'!B$352))*AVERAGE('Raw Data'!B$2:'Raw Data'!B$352))</f>
        <v>79.744367281039757</v>
      </c>
      <c r="C75" s="52">
        <f ca="1">'Raw Data'!C75*($K$2/_xlfn.STDEV.P('Raw Data'!C$2:'Raw Data'!C$352)) + ($J$2-($K$2/_xlfn.STDEV.P('Raw Data'!C$2:'Raw Data'!C$352))*AVERAGE('Raw Data'!C$2:'Raw Data'!C$352))</f>
        <v>79.786117727427168</v>
      </c>
      <c r="D75" s="52">
        <f ca="1">'Raw Data'!D75*($K$2/_xlfn.STDEV.P('Raw Data'!D$2:'Raw Data'!D$352)) + ($J$2-($K$2/_xlfn.STDEV.P('Raw Data'!D$2:'Raw Data'!D$352))*AVERAGE('Raw Data'!D$2:'Raw Data'!D$352))</f>
        <v>79.22</v>
      </c>
      <c r="E75" s="52">
        <f ca="1">IFERROR($J$4+('Raw Data'!H75-MIN('Raw Data'!H$2:'Raw Data'!H$352))*($J$3-$J$4)/(MAX('Raw Data'!H$2:'Raw Data'!H$352)-MIN('Raw Data'!H$2:'Raw Data'!H$352)),"")</f>
        <v>84.109904153354634</v>
      </c>
      <c r="F75" s="52">
        <f ca="1">IFERROR($J$4+('Raw Data'!I75-MIN('Raw Data'!I$2:'Raw Data'!I$352))*($J$3-$J$4)/(MAX('Raw Data'!I$2:'Raw Data'!I$352)-MIN('Raw Data'!I$2:'Raw Data'!I$352)),"")</f>
        <v>84.594893048128341</v>
      </c>
      <c r="G75" s="52">
        <f ca="1">IF(Bracket!$I$1="Composite",AVERAGE(B75:F75),IF(Bracket!$I$1="Kenpom",B75,IF(Bracket!$I$1="PVA",C75,IF(Bracket!$I$1="Sagarin Predictor",D75,IF(Bracket!$I$1="No Preseason",AVERAGE(B75:D75),"")))))</f>
        <v>81.491056441989983</v>
      </c>
      <c r="H75" s="63">
        <f t="shared" ca="1" si="1"/>
        <v>59</v>
      </c>
      <c r="I75" s="52"/>
      <c r="J75" s="52"/>
      <c r="K75" s="52"/>
    </row>
    <row r="76" spans="1:11" x14ac:dyDescent="0.3">
      <c r="A76" s="52" t="str">
        <f>'Raw Data'!A76</f>
        <v>Stony Brook</v>
      </c>
      <c r="B76" s="52">
        <f ca="1">'Raw Data'!B76*($K$2/_xlfn.STDEV.P('Raw Data'!B$2:'Raw Data'!B$352)) + ($J$2-($K$2/_xlfn.STDEV.P('Raw Data'!B$2:'Raw Data'!B$352))*AVERAGE('Raw Data'!B$2:'Raw Data'!B$352))</f>
        <v>79.26912907382254</v>
      </c>
      <c r="C76" s="52">
        <f ca="1">'Raw Data'!C76*($K$2/_xlfn.STDEV.P('Raw Data'!C$2:'Raw Data'!C$352)) + ($J$2-($K$2/_xlfn.STDEV.P('Raw Data'!C$2:'Raw Data'!C$352))*AVERAGE('Raw Data'!C$2:'Raw Data'!C$352))</f>
        <v>77.459754666679856</v>
      </c>
      <c r="D76" s="52">
        <f ca="1">'Raw Data'!D76*($K$2/_xlfn.STDEV.P('Raw Data'!D$2:'Raw Data'!D$352)) + ($J$2-($K$2/_xlfn.STDEV.P('Raw Data'!D$2:'Raw Data'!D$352))*AVERAGE('Raw Data'!D$2:'Raw Data'!D$352))</f>
        <v>77.34</v>
      </c>
      <c r="E76" s="52" t="str">
        <f ca="1">IFERROR($J$4+('Raw Data'!H76-MIN('Raw Data'!H$2:'Raw Data'!H$352))*($J$3-$J$4)/(MAX('Raw Data'!H$2:'Raw Data'!H$352)-MIN('Raw Data'!H$2:'Raw Data'!H$352)),"")</f>
        <v/>
      </c>
      <c r="F76" s="52" t="str">
        <f ca="1">IFERROR($J$4+('Raw Data'!I76-MIN('Raw Data'!I$2:'Raw Data'!I$352))*($J$3-$J$4)/(MAX('Raw Data'!I$2:'Raw Data'!I$352)-MIN('Raw Data'!I$2:'Raw Data'!I$352)),"")</f>
        <v/>
      </c>
      <c r="G76" s="52">
        <f ca="1">IF(Bracket!$I$1="Composite",AVERAGE(B76:F76),IF(Bracket!$I$1="Kenpom",B76,IF(Bracket!$I$1="PVA",C76,IF(Bracket!$I$1="Sagarin Predictor",D76,IF(Bracket!$I$1="No Preseason",AVERAGE(B76:D76),"")))))</f>
        <v>78.022961246834129</v>
      </c>
      <c r="H76" s="63">
        <f t="shared" ca="1" si="1"/>
        <v>102</v>
      </c>
      <c r="I76" s="52"/>
      <c r="J76" s="52"/>
      <c r="K76" s="52"/>
    </row>
    <row r="77" spans="1:11" x14ac:dyDescent="0.3">
      <c r="A77" s="52" t="str">
        <f>'Raw Data'!A77</f>
        <v>JMU</v>
      </c>
      <c r="B77" s="52">
        <f ca="1">'Raw Data'!B77*($K$2/_xlfn.STDEV.P('Raw Data'!B$2:'Raw Data'!B$352)) + ($J$2-($K$2/_xlfn.STDEV.P('Raw Data'!B$2:'Raw Data'!B$352))*AVERAGE('Raw Data'!B$2:'Raw Data'!B$352))</f>
        <v>79.627443595137109</v>
      </c>
      <c r="C77" s="52">
        <f ca="1">'Raw Data'!C77*($K$2/_xlfn.STDEV.P('Raw Data'!C$2:'Raw Data'!C$352)) + ($J$2-($K$2/_xlfn.STDEV.P('Raw Data'!C$2:'Raw Data'!C$352))*AVERAGE('Raw Data'!C$2:'Raw Data'!C$352))</f>
        <v>78.235209020262289</v>
      </c>
      <c r="D77" s="52">
        <f ca="1">'Raw Data'!D77*($K$2/_xlfn.STDEV.P('Raw Data'!D$2:'Raw Data'!D$352)) + ($J$2-($K$2/_xlfn.STDEV.P('Raw Data'!D$2:'Raw Data'!D$352))*AVERAGE('Raw Data'!D$2:'Raw Data'!D$352))</f>
        <v>77.319999999999993</v>
      </c>
      <c r="E77" s="52" t="str">
        <f ca="1">IFERROR($J$4+('Raw Data'!H77-MIN('Raw Data'!H$2:'Raw Data'!H$352))*($J$3-$J$4)/(MAX('Raw Data'!H$2:'Raw Data'!H$352)-MIN('Raw Data'!H$2:'Raw Data'!H$352)),"")</f>
        <v/>
      </c>
      <c r="F77" s="52" t="str">
        <f ca="1">IFERROR($J$4+('Raw Data'!I77-MIN('Raw Data'!I$2:'Raw Data'!I$352))*($J$3-$J$4)/(MAX('Raw Data'!I$2:'Raw Data'!I$352)-MIN('Raw Data'!I$2:'Raw Data'!I$352)),"")</f>
        <v/>
      </c>
      <c r="G77" s="52">
        <f ca="1">IF(Bracket!$I$1="Composite",AVERAGE(B77:F77),IF(Bracket!$I$1="Kenpom",B77,IF(Bracket!$I$1="PVA",C77,IF(Bracket!$I$1="Sagarin Predictor",D77,IF(Bracket!$I$1="No Preseason",AVERAGE(B77:D77),"")))))</f>
        <v>78.394217538466464</v>
      </c>
      <c r="H77" s="63">
        <f t="shared" ca="1" si="1"/>
        <v>96</v>
      </c>
      <c r="I77" s="52"/>
      <c r="J77" s="52"/>
      <c r="K77" s="52"/>
    </row>
    <row r="78" spans="1:11" x14ac:dyDescent="0.3">
      <c r="A78" s="52" t="str">
        <f>'Raw Data'!A78</f>
        <v>UNC Wilmington</v>
      </c>
      <c r="B78" s="52">
        <f ca="1">'Raw Data'!B78*($K$2/_xlfn.STDEV.P('Raw Data'!B$2:'Raw Data'!B$352)) + ($J$2-($K$2/_xlfn.STDEV.P('Raw Data'!B$2:'Raw Data'!B$352))*AVERAGE('Raw Data'!B$2:'Raw Data'!B$352))</f>
        <v>80.626952523014609</v>
      </c>
      <c r="C78" s="52">
        <f ca="1">'Raw Data'!C78*($K$2/_xlfn.STDEV.P('Raw Data'!C$2:'Raw Data'!C$352)) + ($J$2-($K$2/_xlfn.STDEV.P('Raw Data'!C$2:'Raw Data'!C$352))*AVERAGE('Raw Data'!C$2:'Raw Data'!C$352))</f>
        <v>79.269148158372218</v>
      </c>
      <c r="D78" s="52">
        <f ca="1">'Raw Data'!D78*($K$2/_xlfn.STDEV.P('Raw Data'!D$2:'Raw Data'!D$352)) + ($J$2-($K$2/_xlfn.STDEV.P('Raw Data'!D$2:'Raw Data'!D$352))*AVERAGE('Raw Data'!D$2:'Raw Data'!D$352))</f>
        <v>77.58</v>
      </c>
      <c r="E78" s="52" t="str">
        <f ca="1">IFERROR($J$4+('Raw Data'!H78-MIN('Raw Data'!H$2:'Raw Data'!H$352))*($J$3-$J$4)/(MAX('Raw Data'!H$2:'Raw Data'!H$352)-MIN('Raw Data'!H$2:'Raw Data'!H$352)),"")</f>
        <v/>
      </c>
      <c r="F78" s="52" t="str">
        <f ca="1">IFERROR($J$4+('Raw Data'!I78-MIN('Raw Data'!I$2:'Raw Data'!I$352))*($J$3-$J$4)/(MAX('Raw Data'!I$2:'Raw Data'!I$352)-MIN('Raw Data'!I$2:'Raw Data'!I$352)),"")</f>
        <v/>
      </c>
      <c r="G78" s="52">
        <f ca="1">IF(Bracket!$I$1="Composite",AVERAGE(B78:F78),IF(Bracket!$I$1="Kenpom",B78,IF(Bracket!$I$1="PVA",C78,IF(Bracket!$I$1="Sagarin Predictor",D78,IF(Bracket!$I$1="No Preseason",AVERAGE(B78:D78),"")))))</f>
        <v>79.158700227128932</v>
      </c>
      <c r="H78" s="63">
        <f t="shared" ca="1" si="1"/>
        <v>85</v>
      </c>
      <c r="I78" s="52"/>
      <c r="J78" s="52"/>
      <c r="K78" s="52"/>
    </row>
    <row r="79" spans="1:11" x14ac:dyDescent="0.3">
      <c r="A79" s="52" t="str">
        <f>'Raw Data'!A79</f>
        <v>Stanford</v>
      </c>
      <c r="B79" s="52">
        <f ca="1">'Raw Data'!B79*($K$2/_xlfn.STDEV.P('Raw Data'!B$2:'Raw Data'!B$352)) + ($J$2-($K$2/_xlfn.STDEV.P('Raw Data'!B$2:'Raw Data'!B$352))*AVERAGE('Raw Data'!B$2:'Raw Data'!B$352))</f>
        <v>77.824555793154303</v>
      </c>
      <c r="C79" s="52">
        <f ca="1">'Raw Data'!C79*($K$2/_xlfn.STDEV.P('Raw Data'!C$2:'Raw Data'!C$352)) + ($J$2-($K$2/_xlfn.STDEV.P('Raw Data'!C$2:'Raw Data'!C$352))*AVERAGE('Raw Data'!C$2:'Raw Data'!C$352))</f>
        <v>77.718239451207339</v>
      </c>
      <c r="D79" s="52">
        <f ca="1">'Raw Data'!D79*($K$2/_xlfn.STDEV.P('Raw Data'!D$2:'Raw Data'!D$352)) + ($J$2-($K$2/_xlfn.STDEV.P('Raw Data'!D$2:'Raw Data'!D$352))*AVERAGE('Raw Data'!D$2:'Raw Data'!D$352))</f>
        <v>77.92</v>
      </c>
      <c r="E79" s="52" t="str">
        <f ca="1">IFERROR($J$4+('Raw Data'!H79-MIN('Raw Data'!H$2:'Raw Data'!H$352))*($J$3-$J$4)/(MAX('Raw Data'!H$2:'Raw Data'!H$352)-MIN('Raw Data'!H$2:'Raw Data'!H$352)),"")</f>
        <v/>
      </c>
      <c r="F79" s="52" t="str">
        <f ca="1">IFERROR($J$4+('Raw Data'!I79-MIN('Raw Data'!I$2:'Raw Data'!I$352))*($J$3-$J$4)/(MAX('Raw Data'!I$2:'Raw Data'!I$352)-MIN('Raw Data'!I$2:'Raw Data'!I$352)),"")</f>
        <v/>
      </c>
      <c r="G79" s="52">
        <f ca="1">IF(Bracket!$I$1="Composite",AVERAGE(B79:F79),IF(Bracket!$I$1="Kenpom",B79,IF(Bracket!$I$1="PVA",C79,IF(Bracket!$I$1="Sagarin Predictor",D79,IF(Bracket!$I$1="No Preseason",AVERAGE(B79:D79),"")))))</f>
        <v>77.820931748120543</v>
      </c>
      <c r="H79" s="63">
        <f t="shared" ca="1" si="1"/>
        <v>103</v>
      </c>
      <c r="I79" s="52"/>
      <c r="J79" s="52"/>
      <c r="K79" s="52"/>
    </row>
    <row r="80" spans="1:11" x14ac:dyDescent="0.3">
      <c r="A80" s="52" t="str">
        <f>'Raw Data'!A80</f>
        <v>Hofstra</v>
      </c>
      <c r="B80" s="52">
        <f ca="1">'Raw Data'!B80*($K$2/_xlfn.STDEV.P('Raw Data'!B$2:'Raw Data'!B$352)) + ($J$2-($K$2/_xlfn.STDEV.P('Raw Data'!B$2:'Raw Data'!B$352))*AVERAGE('Raw Data'!B$2:'Raw Data'!B$352))</f>
        <v>80.20074682924043</v>
      </c>
      <c r="C80" s="52">
        <f ca="1">'Raw Data'!C80*($K$2/_xlfn.STDEV.P('Raw Data'!C$2:'Raw Data'!C$352)) + ($J$2-($K$2/_xlfn.STDEV.P('Raw Data'!C$2:'Raw Data'!C$352))*AVERAGE('Raw Data'!C$2:'Raw Data'!C$352))</f>
        <v>77.718239451207339</v>
      </c>
      <c r="D80" s="52">
        <f ca="1">'Raw Data'!D80*($K$2/_xlfn.STDEV.P('Raw Data'!D$2:'Raw Data'!D$352)) + ($J$2-($K$2/_xlfn.STDEV.P('Raw Data'!D$2:'Raw Data'!D$352))*AVERAGE('Raw Data'!D$2:'Raw Data'!D$352))</f>
        <v>76.7</v>
      </c>
      <c r="E80" s="52" t="str">
        <f ca="1">IFERROR($J$4+('Raw Data'!H80-MIN('Raw Data'!H$2:'Raw Data'!H$352))*($J$3-$J$4)/(MAX('Raw Data'!H$2:'Raw Data'!H$352)-MIN('Raw Data'!H$2:'Raw Data'!H$352)),"")</f>
        <v/>
      </c>
      <c r="F80" s="52" t="str">
        <f ca="1">IFERROR($J$4+('Raw Data'!I80-MIN('Raw Data'!I$2:'Raw Data'!I$352))*($J$3-$J$4)/(MAX('Raw Data'!I$2:'Raw Data'!I$352)-MIN('Raw Data'!I$2:'Raw Data'!I$352)),"")</f>
        <v/>
      </c>
      <c r="G80" s="52">
        <f ca="1">IF(Bracket!$I$1="Composite",AVERAGE(B80:F80),IF(Bracket!$I$1="Kenpom",B80,IF(Bracket!$I$1="PVA",C80,IF(Bracket!$I$1="Sagarin Predictor",D80,IF(Bracket!$I$1="No Preseason",AVERAGE(B80:D80),"")))))</f>
        <v>78.206328760149248</v>
      </c>
      <c r="H80" s="63">
        <f t="shared" ca="1" si="1"/>
        <v>100</v>
      </c>
      <c r="I80" s="52"/>
      <c r="J80" s="52"/>
      <c r="K80" s="52"/>
    </row>
    <row r="81" spans="1:11" x14ac:dyDescent="0.3">
      <c r="A81" s="52" t="str">
        <f>'Raw Data'!A81</f>
        <v>Georgia</v>
      </c>
      <c r="B81" s="52">
        <f ca="1">'Raw Data'!B81*($K$2/_xlfn.STDEV.P('Raw Data'!B$2:'Raw Data'!B$352)) + ($J$2-($K$2/_xlfn.STDEV.P('Raw Data'!B$2:'Raw Data'!B$352))*AVERAGE('Raw Data'!B$2:'Raw Data'!B$352))</f>
        <v>81.456733519743096</v>
      </c>
      <c r="C81" s="52">
        <f ca="1">'Raw Data'!C81*($K$2/_xlfn.STDEV.P('Raw Data'!C$2:'Raw Data'!C$352)) + ($J$2-($K$2/_xlfn.STDEV.P('Raw Data'!C$2:'Raw Data'!C$352))*AVERAGE('Raw Data'!C$2:'Raw Data'!C$352))</f>
        <v>81.724753611383264</v>
      </c>
      <c r="D81" s="52">
        <f ca="1">'Raw Data'!D81*($K$2/_xlfn.STDEV.P('Raw Data'!D$2:'Raw Data'!D$352)) + ($J$2-($K$2/_xlfn.STDEV.P('Raw Data'!D$2:'Raw Data'!D$352))*AVERAGE('Raw Data'!D$2:'Raw Data'!D$352))</f>
        <v>80</v>
      </c>
      <c r="E81" s="52" t="str">
        <f ca="1">IFERROR($J$4+('Raw Data'!H81-MIN('Raw Data'!H$2:'Raw Data'!H$352))*($J$3-$J$4)/(MAX('Raw Data'!H$2:'Raw Data'!H$352)-MIN('Raw Data'!H$2:'Raw Data'!H$352)),"")</f>
        <v/>
      </c>
      <c r="F81" s="52" t="str">
        <f ca="1">IFERROR($J$4+('Raw Data'!I81-MIN('Raw Data'!I$2:'Raw Data'!I$352))*($J$3-$J$4)/(MAX('Raw Data'!I$2:'Raw Data'!I$352)-MIN('Raw Data'!I$2:'Raw Data'!I$352)),"")</f>
        <v/>
      </c>
      <c r="G81" s="52">
        <f ca="1">IF(Bracket!$I$1="Composite",AVERAGE(B81:F81),IF(Bracket!$I$1="Kenpom",B81,IF(Bracket!$I$1="PVA",C81,IF(Bracket!$I$1="Sagarin Predictor",D81,IF(Bracket!$I$1="No Preseason",AVERAGE(B81:D81),"")))))</f>
        <v>81.060495710375449</v>
      </c>
      <c r="H81" s="63">
        <f t="shared" ca="1" si="1"/>
        <v>65</v>
      </c>
      <c r="I81" s="52"/>
      <c r="J81" s="52"/>
      <c r="K81" s="52"/>
    </row>
    <row r="82" spans="1:11" x14ac:dyDescent="0.3">
      <c r="A82" s="52" t="str">
        <f>'Raw Data'!A82</f>
        <v>Alabama</v>
      </c>
      <c r="B82" s="52">
        <f ca="1">'Raw Data'!B82*($K$2/_xlfn.STDEV.P('Raw Data'!B$2:'Raw Data'!B$352)) + ($J$2-($K$2/_xlfn.STDEV.P('Raw Data'!B$2:'Raw Data'!B$352))*AVERAGE('Raw Data'!B$2:'Raw Data'!B$352))</f>
        <v>79.072999020050347</v>
      </c>
      <c r="C82" s="52">
        <f ca="1">'Raw Data'!C82*($K$2/_xlfn.STDEV.P('Raw Data'!C$2:'Raw Data'!C$352)) + ($J$2-($K$2/_xlfn.STDEV.P('Raw Data'!C$2:'Raw Data'!C$352))*AVERAGE('Raw Data'!C$2:'Raw Data'!C$352))</f>
        <v>78.752178589317253</v>
      </c>
      <c r="D82" s="52">
        <f ca="1">'Raw Data'!D82*($K$2/_xlfn.STDEV.P('Raw Data'!D$2:'Raw Data'!D$352)) + ($J$2-($K$2/_xlfn.STDEV.P('Raw Data'!D$2:'Raw Data'!D$352))*AVERAGE('Raw Data'!D$2:'Raw Data'!D$352))</f>
        <v>77.819999999999993</v>
      </c>
      <c r="E82" s="52" t="str">
        <f ca="1">IFERROR($J$4+('Raw Data'!H82-MIN('Raw Data'!H$2:'Raw Data'!H$352))*($J$3-$J$4)/(MAX('Raw Data'!H$2:'Raw Data'!H$352)-MIN('Raw Data'!H$2:'Raw Data'!H$352)),"")</f>
        <v/>
      </c>
      <c r="F82" s="52" t="str">
        <f ca="1">IFERROR($J$4+('Raw Data'!I82-MIN('Raw Data'!I$2:'Raw Data'!I$352))*($J$3-$J$4)/(MAX('Raw Data'!I$2:'Raw Data'!I$352)-MIN('Raw Data'!I$2:'Raw Data'!I$352)),"")</f>
        <v/>
      </c>
      <c r="G82" s="52">
        <f ca="1">IF(Bracket!$I$1="Composite",AVERAGE(B82:F82),IF(Bracket!$I$1="Kenpom",B82,IF(Bracket!$I$1="PVA",C82,IF(Bracket!$I$1="Sagarin Predictor",D82,IF(Bracket!$I$1="No Preseason",AVERAGE(B82:D82),"")))))</f>
        <v>78.548392536455864</v>
      </c>
      <c r="H82" s="63">
        <f t="shared" ca="1" si="1"/>
        <v>94</v>
      </c>
      <c r="I82" s="52"/>
      <c r="J82" s="52"/>
      <c r="K82" s="52"/>
    </row>
    <row r="83" spans="1:11" x14ac:dyDescent="0.3">
      <c r="A83" s="52" t="str">
        <f>'Raw Data'!A83</f>
        <v>St Bonaventure</v>
      </c>
      <c r="B83" s="52">
        <f ca="1">'Raw Data'!B83*($K$2/_xlfn.STDEV.P('Raw Data'!B$2:'Raw Data'!B$352)) + ($J$2-($K$2/_xlfn.STDEV.P('Raw Data'!B$2:'Raw Data'!B$352))*AVERAGE('Raw Data'!B$2:'Raw Data'!B$352))</f>
        <v>79.174835778739748</v>
      </c>
      <c r="C83" s="52">
        <f ca="1">'Raw Data'!C83*($K$2/_xlfn.STDEV.P('Raw Data'!C$2:'Raw Data'!C$352)) + ($J$2-($K$2/_xlfn.STDEV.P('Raw Data'!C$2:'Raw Data'!C$352))*AVERAGE('Raw Data'!C$2:'Raw Data'!C$352))</f>
        <v>79.398390550635952</v>
      </c>
      <c r="D83" s="52">
        <f ca="1">'Raw Data'!D83*($K$2/_xlfn.STDEV.P('Raw Data'!D$2:'Raw Data'!D$352)) + ($J$2-($K$2/_xlfn.STDEV.P('Raw Data'!D$2:'Raw Data'!D$352))*AVERAGE('Raw Data'!D$2:'Raw Data'!D$352))</f>
        <v>77.63</v>
      </c>
      <c r="E83" s="52" t="str">
        <f ca="1">IFERROR($J$4+('Raw Data'!H83-MIN('Raw Data'!H$2:'Raw Data'!H$352))*($J$3-$J$4)/(MAX('Raw Data'!H$2:'Raw Data'!H$352)-MIN('Raw Data'!H$2:'Raw Data'!H$352)),"")</f>
        <v/>
      </c>
      <c r="F83" s="52" t="str">
        <f ca="1">IFERROR($J$4+('Raw Data'!I83-MIN('Raw Data'!I$2:'Raw Data'!I$352))*($J$3-$J$4)/(MAX('Raw Data'!I$2:'Raw Data'!I$352)-MIN('Raw Data'!I$2:'Raw Data'!I$352)),"")</f>
        <v/>
      </c>
      <c r="G83" s="52">
        <f ca="1">IF(Bracket!$I$1="Composite",AVERAGE(B83:F83),IF(Bracket!$I$1="Kenpom",B83,IF(Bracket!$I$1="PVA",C83,IF(Bracket!$I$1="Sagarin Predictor",D83,IF(Bracket!$I$1="No Preseason",AVERAGE(B83:D83),"")))))</f>
        <v>78.734408776458565</v>
      </c>
      <c r="H83" s="63">
        <f t="shared" ca="1" si="1"/>
        <v>92</v>
      </c>
      <c r="I83" s="52"/>
      <c r="J83" s="52"/>
      <c r="K83" s="52"/>
    </row>
    <row r="84" spans="1:11" x14ac:dyDescent="0.3">
      <c r="A84" s="52" t="str">
        <f>'Raw Data'!A84</f>
        <v>URI</v>
      </c>
      <c r="B84" s="52">
        <f ca="1">'Raw Data'!B84*($K$2/_xlfn.STDEV.P('Raw Data'!B$2:'Raw Data'!B$352)) + ($J$2-($K$2/_xlfn.STDEV.P('Raw Data'!B$2:'Raw Data'!B$352))*AVERAGE('Raw Data'!B$2:'Raw Data'!B$352))</f>
        <v>79.205009633166242</v>
      </c>
      <c r="C84" s="52">
        <f ca="1">'Raw Data'!C84*($K$2/_xlfn.STDEV.P('Raw Data'!C$2:'Raw Data'!C$352)) + ($J$2-($K$2/_xlfn.STDEV.P('Raw Data'!C$2:'Raw Data'!C$352))*AVERAGE('Raw Data'!C$2:'Raw Data'!C$352))</f>
        <v>79.398390550635952</v>
      </c>
      <c r="D84" s="52">
        <f ca="1">'Raw Data'!D84*($K$2/_xlfn.STDEV.P('Raw Data'!D$2:'Raw Data'!D$352)) + ($J$2-($K$2/_xlfn.STDEV.P('Raw Data'!D$2:'Raw Data'!D$352))*AVERAGE('Raw Data'!D$2:'Raw Data'!D$352))</f>
        <v>78.92</v>
      </c>
      <c r="E84" s="52">
        <f ca="1">IFERROR($J$4+('Raw Data'!H84-MIN('Raw Data'!H$2:'Raw Data'!H$352))*($J$3-$J$4)/(MAX('Raw Data'!H$2:'Raw Data'!H$352)-MIN('Raw Data'!H$2:'Raw Data'!H$352)),"")</f>
        <v>82.417859424920124</v>
      </c>
      <c r="F84" s="52" t="str">
        <f ca="1">IFERROR($J$4+('Raw Data'!I84-MIN('Raw Data'!I$2:'Raw Data'!I$352))*($J$3-$J$4)/(MAX('Raw Data'!I$2:'Raw Data'!I$352)-MIN('Raw Data'!I$2:'Raw Data'!I$352)),"")</f>
        <v/>
      </c>
      <c r="G84" s="52">
        <f ca="1">IF(Bracket!$I$1="Composite",AVERAGE(B84:F84),IF(Bracket!$I$1="Kenpom",B84,IF(Bracket!$I$1="PVA",C84,IF(Bracket!$I$1="Sagarin Predictor",D84,IF(Bracket!$I$1="No Preseason",AVERAGE(B84:D84),"")))))</f>
        <v>79.98531490218059</v>
      </c>
      <c r="H84" s="63">
        <f t="shared" ca="1" si="1"/>
        <v>76</v>
      </c>
      <c r="I84" s="52"/>
      <c r="J84" s="52"/>
      <c r="K84" s="52"/>
    </row>
    <row r="85" spans="1:11" x14ac:dyDescent="0.3">
      <c r="A85" s="52" t="str">
        <f>'Raw Data'!A85</f>
        <v>Northwestern</v>
      </c>
      <c r="B85" s="52">
        <f ca="1">'Raw Data'!B85*($K$2/_xlfn.STDEV.P('Raw Data'!B$2:'Raw Data'!B$352)) + ($J$2-($K$2/_xlfn.STDEV.P('Raw Data'!B$2:'Raw Data'!B$352))*AVERAGE('Raw Data'!B$2:'Raw Data'!B$352))</f>
        <v>80.261094538093403</v>
      </c>
      <c r="C85" s="52">
        <f ca="1">'Raw Data'!C85*($K$2/_xlfn.STDEV.P('Raw Data'!C$2:'Raw Data'!C$352)) + ($J$2-($K$2/_xlfn.STDEV.P('Raw Data'!C$2:'Raw Data'!C$352))*AVERAGE('Raw Data'!C$2:'Raw Data'!C$352))</f>
        <v>79.656875335163434</v>
      </c>
      <c r="D85" s="52">
        <f ca="1">'Raw Data'!D85*($K$2/_xlfn.STDEV.P('Raw Data'!D$2:'Raw Data'!D$352)) + ($J$2-($K$2/_xlfn.STDEV.P('Raw Data'!D$2:'Raw Data'!D$352))*AVERAGE('Raw Data'!D$2:'Raw Data'!D$352))</f>
        <v>80.849999999999994</v>
      </c>
      <c r="E85" s="52" t="str">
        <f ca="1">IFERROR($J$4+('Raw Data'!H85-MIN('Raw Data'!H$2:'Raw Data'!H$352))*($J$3-$J$4)/(MAX('Raw Data'!H$2:'Raw Data'!H$352)-MIN('Raw Data'!H$2:'Raw Data'!H$352)),"")</f>
        <v/>
      </c>
      <c r="F85" s="52" t="str">
        <f ca="1">IFERROR($J$4+('Raw Data'!I85-MIN('Raw Data'!I$2:'Raw Data'!I$352))*($J$3-$J$4)/(MAX('Raw Data'!I$2:'Raw Data'!I$352)-MIN('Raw Data'!I$2:'Raw Data'!I$352)),"")</f>
        <v/>
      </c>
      <c r="G85" s="52">
        <f ca="1">IF(Bracket!$I$1="Composite",AVERAGE(B85:F85),IF(Bracket!$I$1="Kenpom",B85,IF(Bracket!$I$1="PVA",C85,IF(Bracket!$I$1="Sagarin Predictor",D85,IF(Bracket!$I$1="No Preseason",AVERAGE(B85:D85),"")))))</f>
        <v>80.255989957752277</v>
      </c>
      <c r="H85" s="63">
        <f t="shared" ca="1" si="1"/>
        <v>72</v>
      </c>
      <c r="I85" s="52"/>
      <c r="J85" s="52"/>
      <c r="K85" s="52"/>
    </row>
    <row r="86" spans="1:11" x14ac:dyDescent="0.3">
      <c r="A86" s="52" t="str">
        <f>'Raw Data'!A86</f>
        <v>Iona</v>
      </c>
      <c r="B86" s="52">
        <f ca="1">'Raw Data'!B86*($K$2/_xlfn.STDEV.P('Raw Data'!B$2:'Raw Data'!B$352)) + ($J$2-($K$2/_xlfn.STDEV.P('Raw Data'!B$2:'Raw Data'!B$352))*AVERAGE('Raw Data'!B$2:'Raw Data'!B$352))</f>
        <v>79.981986384648366</v>
      </c>
      <c r="C86" s="52">
        <f ca="1">'Raw Data'!C86*($K$2/_xlfn.STDEV.P('Raw Data'!C$2:'Raw Data'!C$352)) + ($J$2-($K$2/_xlfn.STDEV.P('Raw Data'!C$2:'Raw Data'!C$352))*AVERAGE('Raw Data'!C$2:'Raw Data'!C$352))</f>
        <v>76.942785097624892</v>
      </c>
      <c r="D86" s="52">
        <f ca="1">'Raw Data'!D86*($K$2/_xlfn.STDEV.P('Raw Data'!D$2:'Raw Data'!D$352)) + ($J$2-($K$2/_xlfn.STDEV.P('Raw Data'!D$2:'Raw Data'!D$352))*AVERAGE('Raw Data'!D$2:'Raw Data'!D$352))</f>
        <v>76.61</v>
      </c>
      <c r="E86" s="52">
        <f ca="1">IFERROR($J$4+('Raw Data'!H86-MIN('Raw Data'!H$2:'Raw Data'!H$352))*($J$3-$J$4)/(MAX('Raw Data'!H$2:'Raw Data'!H$352)-MIN('Raw Data'!H$2:'Raw Data'!H$352)),"")</f>
        <v>82.31</v>
      </c>
      <c r="F86" s="52" t="str">
        <f ca="1">IFERROR($J$4+('Raw Data'!I86-MIN('Raw Data'!I$2:'Raw Data'!I$352))*($J$3-$J$4)/(MAX('Raw Data'!I$2:'Raw Data'!I$352)-MIN('Raw Data'!I$2:'Raw Data'!I$352)),"")</f>
        <v/>
      </c>
      <c r="G86" s="52">
        <f ca="1">IF(Bracket!$I$1="Composite",AVERAGE(B86:F86),IF(Bracket!$I$1="Kenpom",B86,IF(Bracket!$I$1="PVA",C86,IF(Bracket!$I$1="Sagarin Predictor",D86,IF(Bracket!$I$1="No Preseason",AVERAGE(B86:D86),"")))))</f>
        <v>78.961192870568311</v>
      </c>
      <c r="H86" s="63">
        <f t="shared" ca="1" si="1"/>
        <v>89</v>
      </c>
      <c r="I86" s="52"/>
      <c r="J86" s="52"/>
      <c r="K86" s="52"/>
    </row>
    <row r="87" spans="1:11" x14ac:dyDescent="0.3">
      <c r="A87" s="52" t="str">
        <f>'Raw Data'!A87</f>
        <v>Akron</v>
      </c>
      <c r="B87" s="52">
        <f ca="1">'Raw Data'!B87*($K$2/_xlfn.STDEV.P('Raw Data'!B$2:'Raw Data'!B$352)) + ($J$2-($K$2/_xlfn.STDEV.P('Raw Data'!B$2:'Raw Data'!B$352))*AVERAGE('Raw Data'!B$2:'Raw Data'!B$352))</f>
        <v>79.661389181366914</v>
      </c>
      <c r="C87" s="52">
        <f ca="1">'Raw Data'!C87*($K$2/_xlfn.STDEV.P('Raw Data'!C$2:'Raw Data'!C$352)) + ($J$2-($K$2/_xlfn.STDEV.P('Raw Data'!C$2:'Raw Data'!C$352))*AVERAGE('Raw Data'!C$2:'Raw Data'!C$352))</f>
        <v>79.527632942899686</v>
      </c>
      <c r="D87" s="52">
        <f ca="1">'Raw Data'!D87*($K$2/_xlfn.STDEV.P('Raw Data'!D$2:'Raw Data'!D$352)) + ($J$2-($K$2/_xlfn.STDEV.P('Raw Data'!D$2:'Raw Data'!D$352))*AVERAGE('Raw Data'!D$2:'Raw Data'!D$352))</f>
        <v>77.88</v>
      </c>
      <c r="E87" s="52" t="str">
        <f ca="1">IFERROR($J$4+('Raw Data'!H87-MIN('Raw Data'!H$2:'Raw Data'!H$352))*($J$3-$J$4)/(MAX('Raw Data'!H$2:'Raw Data'!H$352)-MIN('Raw Data'!H$2:'Raw Data'!H$352)),"")</f>
        <v/>
      </c>
      <c r="F87" s="52" t="str">
        <f ca="1">IFERROR($J$4+('Raw Data'!I87-MIN('Raw Data'!I$2:'Raw Data'!I$352))*($J$3-$J$4)/(MAX('Raw Data'!I$2:'Raw Data'!I$352)-MIN('Raw Data'!I$2:'Raw Data'!I$352)),"")</f>
        <v/>
      </c>
      <c r="G87" s="52">
        <f ca="1">IF(Bracket!$I$1="Composite",AVERAGE(B87:F87),IF(Bracket!$I$1="Kenpom",B87,IF(Bracket!$I$1="PVA",C87,IF(Bracket!$I$1="Sagarin Predictor",D87,IF(Bracket!$I$1="No Preseason",AVERAGE(B87:D87),"")))))</f>
        <v>79.023007374755537</v>
      </c>
      <c r="H87" s="63">
        <f t="shared" ca="1" si="1"/>
        <v>87</v>
      </c>
      <c r="I87" s="52"/>
      <c r="J87" s="52"/>
      <c r="K87" s="52"/>
    </row>
    <row r="88" spans="1:11" x14ac:dyDescent="0.3">
      <c r="A88" s="52" t="str">
        <f>'Raw Data'!A88</f>
        <v>Ole Miss</v>
      </c>
      <c r="B88" s="52">
        <f ca="1">'Raw Data'!B88*($K$2/_xlfn.STDEV.P('Raw Data'!B$2:'Raw Data'!B$352)) + ($J$2-($K$2/_xlfn.STDEV.P('Raw Data'!B$2:'Raw Data'!B$352))*AVERAGE('Raw Data'!B$2:'Raw Data'!B$352))</f>
        <v>80.985267044329177</v>
      </c>
      <c r="C88" s="52">
        <f ca="1">'Raw Data'!C88*($K$2/_xlfn.STDEV.P('Raw Data'!C$2:'Raw Data'!C$352)) + ($J$2-($K$2/_xlfn.STDEV.P('Raw Data'!C$2:'Raw Data'!C$352))*AVERAGE('Raw Data'!C$2:'Raw Data'!C$352))</f>
        <v>79.010663373844736</v>
      </c>
      <c r="D88" s="52">
        <f ca="1">'Raw Data'!D88*($K$2/_xlfn.STDEV.P('Raw Data'!D$2:'Raw Data'!D$352)) + ($J$2-($K$2/_xlfn.STDEV.P('Raw Data'!D$2:'Raw Data'!D$352))*AVERAGE('Raw Data'!D$2:'Raw Data'!D$352))</f>
        <v>79.069999999999993</v>
      </c>
      <c r="E88" s="52" t="str">
        <f ca="1">IFERROR($J$4+('Raw Data'!H88-MIN('Raw Data'!H$2:'Raw Data'!H$352))*($J$3-$J$4)/(MAX('Raw Data'!H$2:'Raw Data'!H$352)-MIN('Raw Data'!H$2:'Raw Data'!H$352)),"")</f>
        <v/>
      </c>
      <c r="F88" s="52" t="str">
        <f ca="1">IFERROR($J$4+('Raw Data'!I88-MIN('Raw Data'!I$2:'Raw Data'!I$352))*($J$3-$J$4)/(MAX('Raw Data'!I$2:'Raw Data'!I$352)-MIN('Raw Data'!I$2:'Raw Data'!I$352)),"")</f>
        <v/>
      </c>
      <c r="G88" s="52">
        <f ca="1">IF(Bracket!$I$1="Composite",AVERAGE(B88:F88),IF(Bracket!$I$1="Kenpom",B88,IF(Bracket!$I$1="PVA",C88,IF(Bracket!$I$1="Sagarin Predictor",D88,IF(Bracket!$I$1="No Preseason",AVERAGE(B88:D88),"")))))</f>
        <v>79.688643472724635</v>
      </c>
      <c r="H88" s="63">
        <f t="shared" ca="1" si="1"/>
        <v>79</v>
      </c>
      <c r="I88" s="52"/>
      <c r="J88" s="52"/>
      <c r="K88" s="52"/>
    </row>
    <row r="89" spans="1:11" x14ac:dyDescent="0.3">
      <c r="A89" s="52" t="str">
        <f>'Raw Data'!A89</f>
        <v>Northern Iowa</v>
      </c>
      <c r="B89" s="52">
        <f ca="1">'Raw Data'!B89*($K$2/_xlfn.STDEV.P('Raw Data'!B$2:'Raw Data'!B$352)) + ($J$2-($K$2/_xlfn.STDEV.P('Raw Data'!B$2:'Raw Data'!B$352))*AVERAGE('Raw Data'!B$2:'Raw Data'!B$352))</f>
        <v>81.396385810890109</v>
      </c>
      <c r="C89" s="52">
        <f ca="1">'Raw Data'!C89*($K$2/_xlfn.STDEV.P('Raw Data'!C$2:'Raw Data'!C$352)) + ($J$2-($K$2/_xlfn.STDEV.P('Raw Data'!C$2:'Raw Data'!C$352))*AVERAGE('Raw Data'!C$2:'Raw Data'!C$352))</f>
        <v>77.459754666679856</v>
      </c>
      <c r="D89" s="52">
        <f ca="1">'Raw Data'!D89*($K$2/_xlfn.STDEV.P('Raw Data'!D$2:'Raw Data'!D$352)) + ($J$2-($K$2/_xlfn.STDEV.P('Raw Data'!D$2:'Raw Data'!D$352))*AVERAGE('Raw Data'!D$2:'Raw Data'!D$352))</f>
        <v>80.06</v>
      </c>
      <c r="E89" s="52" t="str">
        <f ca="1">IFERROR($J$4+('Raw Data'!H89-MIN('Raw Data'!H$2:'Raw Data'!H$352))*($J$3-$J$4)/(MAX('Raw Data'!H$2:'Raw Data'!H$352)-MIN('Raw Data'!H$2:'Raw Data'!H$352)),"")</f>
        <v/>
      </c>
      <c r="F89" s="52" t="str">
        <f ca="1">IFERROR($J$4+('Raw Data'!I89-MIN('Raw Data'!I$2:'Raw Data'!I$352))*($J$3-$J$4)/(MAX('Raw Data'!I$2:'Raw Data'!I$352)-MIN('Raw Data'!I$2:'Raw Data'!I$352)),"")</f>
        <v/>
      </c>
      <c r="G89" s="52">
        <f ca="1">IF(Bracket!$I$1="Composite",AVERAGE(B89:F89),IF(Bracket!$I$1="Kenpom",B89,IF(Bracket!$I$1="PVA",C89,IF(Bracket!$I$1="Sagarin Predictor",D89,IF(Bracket!$I$1="No Preseason",AVERAGE(B89:D89),"")))))</f>
        <v>79.638713492523323</v>
      </c>
      <c r="H89" s="63">
        <f t="shared" ca="1" si="1"/>
        <v>80</v>
      </c>
      <c r="I89" s="52"/>
      <c r="J89" s="52"/>
      <c r="K89" s="52"/>
    </row>
    <row r="90" spans="1:11" x14ac:dyDescent="0.3">
      <c r="A90" s="52" t="str">
        <f>'Raw Data'!A90</f>
        <v>Evansville</v>
      </c>
      <c r="B90" s="52">
        <f ca="1">'Raw Data'!B90*($K$2/_xlfn.STDEV.P('Raw Data'!B$2:'Raw Data'!B$352)) + ($J$2-($K$2/_xlfn.STDEV.P('Raw Data'!B$2:'Raw Data'!B$352))*AVERAGE('Raw Data'!B$2:'Raw Data'!B$352))</f>
        <v>80.985267044329177</v>
      </c>
      <c r="C90" s="52">
        <f ca="1">'Raw Data'!C90*($K$2/_xlfn.STDEV.P('Raw Data'!C$2:'Raw Data'!C$352)) + ($J$2-($K$2/_xlfn.STDEV.P('Raw Data'!C$2:'Raw Data'!C$352))*AVERAGE('Raw Data'!C$2:'Raw Data'!C$352))</f>
        <v>79.010663373844736</v>
      </c>
      <c r="D90" s="52">
        <f ca="1">'Raw Data'!D90*($K$2/_xlfn.STDEV.P('Raw Data'!D$2:'Raw Data'!D$352)) + ($J$2-($K$2/_xlfn.STDEV.P('Raw Data'!D$2:'Raw Data'!D$352))*AVERAGE('Raw Data'!D$2:'Raw Data'!D$352))</f>
        <v>79.819999999999993</v>
      </c>
      <c r="E90" s="52" t="str">
        <f ca="1">IFERROR($J$4+('Raw Data'!H90-MIN('Raw Data'!H$2:'Raw Data'!H$352))*($J$3-$J$4)/(MAX('Raw Data'!H$2:'Raw Data'!H$352)-MIN('Raw Data'!H$2:'Raw Data'!H$352)),"")</f>
        <v/>
      </c>
      <c r="F90" s="52" t="str">
        <f ca="1">IFERROR($J$4+('Raw Data'!I90-MIN('Raw Data'!I$2:'Raw Data'!I$352))*($J$3-$J$4)/(MAX('Raw Data'!I$2:'Raw Data'!I$352)-MIN('Raw Data'!I$2:'Raw Data'!I$352)),"")</f>
        <v/>
      </c>
      <c r="G90" s="52">
        <f ca="1">IF(Bracket!$I$1="Composite",AVERAGE(B90:F90),IF(Bracket!$I$1="Kenpom",B90,IF(Bracket!$I$1="PVA",C90,IF(Bracket!$I$1="Sagarin Predictor",D90,IF(Bracket!$I$1="No Preseason",AVERAGE(B90:D90),"")))))</f>
        <v>79.938643472724635</v>
      </c>
      <c r="H90" s="63">
        <f t="shared" ca="1" si="1"/>
        <v>78</v>
      </c>
      <c r="I90" s="52"/>
      <c r="J90" s="52"/>
      <c r="K90" s="52"/>
    </row>
    <row r="91" spans="1:11" x14ac:dyDescent="0.3">
      <c r="A91" s="52" t="str">
        <f>'Raw Data'!A91</f>
        <v>Oakland</v>
      </c>
      <c r="B91" s="52">
        <f ca="1">'Raw Data'!B91*($K$2/_xlfn.STDEV.P('Raw Data'!B$2:'Raw Data'!B$352)) + ($J$2-($K$2/_xlfn.STDEV.P('Raw Data'!B$2:'Raw Data'!B$352))*AVERAGE('Raw Data'!B$2:'Raw Data'!B$352))</f>
        <v>78.763717012178816</v>
      </c>
      <c r="C91" s="52">
        <f ca="1">'Raw Data'!C91*($K$2/_xlfn.STDEV.P('Raw Data'!C$2:'Raw Data'!C$352)) + ($J$2-($K$2/_xlfn.STDEV.P('Raw Data'!C$2:'Raw Data'!C$352))*AVERAGE('Raw Data'!C$2:'Raw Data'!C$352))</f>
        <v>77.976724235734821</v>
      </c>
      <c r="D91" s="52">
        <f ca="1">'Raw Data'!D91*($K$2/_xlfn.STDEV.P('Raw Data'!D$2:'Raw Data'!D$352)) + ($J$2-($K$2/_xlfn.STDEV.P('Raw Data'!D$2:'Raw Data'!D$352))*AVERAGE('Raw Data'!D$2:'Raw Data'!D$352))</f>
        <v>78</v>
      </c>
      <c r="E91" s="52" t="str">
        <f ca="1">IFERROR($J$4+('Raw Data'!H91-MIN('Raw Data'!H$2:'Raw Data'!H$352))*($J$3-$J$4)/(MAX('Raw Data'!H$2:'Raw Data'!H$352)-MIN('Raw Data'!H$2:'Raw Data'!H$352)),"")</f>
        <v/>
      </c>
      <c r="F91" s="52" t="str">
        <f ca="1">IFERROR($J$4+('Raw Data'!I91-MIN('Raw Data'!I$2:'Raw Data'!I$352))*($J$3-$J$4)/(MAX('Raw Data'!I$2:'Raw Data'!I$352)-MIN('Raw Data'!I$2:'Raw Data'!I$352)),"")</f>
        <v/>
      </c>
      <c r="G91" s="52">
        <f ca="1">IF(Bracket!$I$1="Composite",AVERAGE(B91:F91),IF(Bracket!$I$1="Kenpom",B91,IF(Bracket!$I$1="PVA",C91,IF(Bracket!$I$1="Sagarin Predictor",D91,IF(Bracket!$I$1="No Preseason",AVERAGE(B91:D91),"")))))</f>
        <v>78.246813749304536</v>
      </c>
      <c r="H91" s="63">
        <f t="shared" ca="1" si="1"/>
        <v>99</v>
      </c>
      <c r="I91" s="52"/>
      <c r="J91" s="52"/>
      <c r="K91" s="52"/>
    </row>
    <row r="92" spans="1:11" x14ac:dyDescent="0.3">
      <c r="A92" s="52" t="str">
        <f>'Raw Data'!A92</f>
        <v>Arizona State</v>
      </c>
      <c r="B92" s="52">
        <f ca="1">'Raw Data'!B92*($K$2/_xlfn.STDEV.P('Raw Data'!B$2:'Raw Data'!B$352)) + ($J$2-($K$2/_xlfn.STDEV.P('Raw Data'!B$2:'Raw Data'!B$352))*AVERAGE('Raw Data'!B$2:'Raw Data'!B$352))</f>
        <v>78.74108662135896</v>
      </c>
      <c r="C92" s="52">
        <f ca="1">'Raw Data'!C92*($K$2/_xlfn.STDEV.P('Raw Data'!C$2:'Raw Data'!C$352)) + ($J$2-($K$2/_xlfn.STDEV.P('Raw Data'!C$2:'Raw Data'!C$352))*AVERAGE('Raw Data'!C$2:'Raw Data'!C$352))</f>
        <v>78.752178589317253</v>
      </c>
      <c r="D92" s="52">
        <f ca="1">'Raw Data'!D92*($K$2/_xlfn.STDEV.P('Raw Data'!D$2:'Raw Data'!D$352)) + ($J$2-($K$2/_xlfn.STDEV.P('Raw Data'!D$2:'Raw Data'!D$352))*AVERAGE('Raw Data'!D$2:'Raw Data'!D$352))</f>
        <v>78.55</v>
      </c>
      <c r="E92" s="52" t="str">
        <f ca="1">IFERROR($J$4+('Raw Data'!H92-MIN('Raw Data'!H$2:'Raw Data'!H$352))*($J$3-$J$4)/(MAX('Raw Data'!H$2:'Raw Data'!H$352)-MIN('Raw Data'!H$2:'Raw Data'!H$352)),"")</f>
        <v/>
      </c>
      <c r="F92" s="52" t="str">
        <f ca="1">IFERROR($J$4+('Raw Data'!I92-MIN('Raw Data'!I$2:'Raw Data'!I$352))*($J$3-$J$4)/(MAX('Raw Data'!I$2:'Raw Data'!I$352)-MIN('Raw Data'!I$2:'Raw Data'!I$352)),"")</f>
        <v/>
      </c>
      <c r="G92" s="52">
        <f ca="1">IF(Bracket!$I$1="Composite",AVERAGE(B92:F92),IF(Bracket!$I$1="Kenpom",B92,IF(Bracket!$I$1="PVA",C92,IF(Bracket!$I$1="Sagarin Predictor",D92,IF(Bracket!$I$1="No Preseason",AVERAGE(B92:D92),"")))))</f>
        <v>78.681088403558746</v>
      </c>
      <c r="H92" s="63">
        <f t="shared" ca="1" si="1"/>
        <v>93</v>
      </c>
      <c r="I92" s="52"/>
      <c r="J92" s="52"/>
      <c r="K92" s="52"/>
    </row>
    <row r="93" spans="1:11" x14ac:dyDescent="0.3">
      <c r="A93" s="52" t="str">
        <f>'Raw Data'!A93</f>
        <v>Temple</v>
      </c>
      <c r="B93" s="52">
        <f ca="1">'Raw Data'!B93*($K$2/_xlfn.STDEV.P('Raw Data'!B$2:'Raw Data'!B$352)) + ($J$2-($K$2/_xlfn.STDEV.P('Raw Data'!B$2:'Raw Data'!B$352))*AVERAGE('Raw Data'!B$2:'Raw Data'!B$352))</f>
        <v>79.740595549236446</v>
      </c>
      <c r="C93" s="52">
        <f ca="1">'Raw Data'!C93*($K$2/_xlfn.STDEV.P('Raw Data'!C$2:'Raw Data'!C$352)) + ($J$2-($K$2/_xlfn.STDEV.P('Raw Data'!C$2:'Raw Data'!C$352))*AVERAGE('Raw Data'!C$2:'Raw Data'!C$352))</f>
        <v>79.398390550635952</v>
      </c>
      <c r="D93" s="52">
        <f ca="1">'Raw Data'!D93*($K$2/_xlfn.STDEV.P('Raw Data'!D$2:'Raw Data'!D$352)) + ($J$2-($K$2/_xlfn.STDEV.P('Raw Data'!D$2:'Raw Data'!D$352))*AVERAGE('Raw Data'!D$2:'Raw Data'!D$352))</f>
        <v>77.83</v>
      </c>
      <c r="E93" s="52" t="str">
        <f ca="1">IFERROR($J$4+('Raw Data'!H93-MIN('Raw Data'!H$2:'Raw Data'!H$352))*($J$3-$J$4)/(MAX('Raw Data'!H$2:'Raw Data'!H$352)-MIN('Raw Data'!H$2:'Raw Data'!H$352)),"")</f>
        <v/>
      </c>
      <c r="F93" s="52" t="str">
        <f ca="1">IFERROR($J$4+('Raw Data'!I93-MIN('Raw Data'!I$2:'Raw Data'!I$352))*($J$3-$J$4)/(MAX('Raw Data'!I$2:'Raw Data'!I$352)-MIN('Raw Data'!I$2:'Raw Data'!I$352)),"")</f>
        <v/>
      </c>
      <c r="G93" s="52">
        <f ca="1">IF(Bracket!$I$1="Composite",AVERAGE(B93:F93),IF(Bracket!$I$1="Kenpom",B93,IF(Bracket!$I$1="PVA",C93,IF(Bracket!$I$1="Sagarin Predictor",D93,IF(Bracket!$I$1="No Preseason",AVERAGE(B93:D93),"")))))</f>
        <v>78.989662033290799</v>
      </c>
      <c r="H93" s="63">
        <f t="shared" ca="1" si="1"/>
        <v>88</v>
      </c>
      <c r="I93" s="52"/>
      <c r="J93" s="52"/>
      <c r="K93" s="52"/>
    </row>
    <row r="94" spans="1:11" x14ac:dyDescent="0.3">
      <c r="A94" s="52" t="str">
        <f>'Raw Data'!A94</f>
        <v>Oklahoma State</v>
      </c>
      <c r="B94" s="52">
        <f ca="1">'Raw Data'!B94*($K$2/_xlfn.STDEV.P('Raw Data'!B$2:'Raw Data'!B$352)) + ($J$2-($K$2/_xlfn.STDEV.P('Raw Data'!B$2:'Raw Data'!B$352))*AVERAGE('Raw Data'!B$2:'Raw Data'!B$352))</f>
        <v>78.182870314468872</v>
      </c>
      <c r="C94" s="52">
        <f ca="1">'Raw Data'!C94*($K$2/_xlfn.STDEV.P('Raw Data'!C$2:'Raw Data'!C$352)) + ($J$2-($K$2/_xlfn.STDEV.P('Raw Data'!C$2:'Raw Data'!C$352))*AVERAGE('Raw Data'!C$2:'Raw Data'!C$352))</f>
        <v>76.684300313097424</v>
      </c>
      <c r="D94" s="52">
        <f ca="1">'Raw Data'!D94*($K$2/_xlfn.STDEV.P('Raw Data'!D$2:'Raw Data'!D$352)) + ($J$2-($K$2/_xlfn.STDEV.P('Raw Data'!D$2:'Raw Data'!D$352))*AVERAGE('Raw Data'!D$2:'Raw Data'!D$352))</f>
        <v>78.56</v>
      </c>
      <c r="E94" s="52">
        <f ca="1">IFERROR($J$4+('Raw Data'!H94-MIN('Raw Data'!H$2:'Raw Data'!H$352))*($J$3-$J$4)/(MAX('Raw Data'!H$2:'Raw Data'!H$352)-MIN('Raw Data'!H$2:'Raw Data'!H$352)),"")</f>
        <v>82.316741214057515</v>
      </c>
      <c r="F94" s="52" t="str">
        <f ca="1">IFERROR($J$4+('Raw Data'!I94-MIN('Raw Data'!I$2:'Raw Data'!I$352))*($J$3-$J$4)/(MAX('Raw Data'!I$2:'Raw Data'!I$352)-MIN('Raw Data'!I$2:'Raw Data'!I$352)),"")</f>
        <v/>
      </c>
      <c r="G94" s="52">
        <f ca="1">IF(Bracket!$I$1="Composite",AVERAGE(B94:F94),IF(Bracket!$I$1="Kenpom",B94,IF(Bracket!$I$1="PVA",C94,IF(Bracket!$I$1="Sagarin Predictor",D94,IF(Bracket!$I$1="No Preseason",AVERAGE(B94:D94),"")))))</f>
        <v>78.93597796040595</v>
      </c>
      <c r="H94" s="63">
        <f t="shared" ca="1" si="1"/>
        <v>90</v>
      </c>
      <c r="I94" s="52"/>
      <c r="J94" s="52"/>
      <c r="K94" s="52"/>
    </row>
    <row r="95" spans="1:11" x14ac:dyDescent="0.3">
      <c r="A95" s="52" t="str">
        <f>'Raw Data'!A95</f>
        <v>Boise State</v>
      </c>
      <c r="B95" s="52">
        <f ca="1">'Raw Data'!B95*($K$2/_xlfn.STDEV.P('Raw Data'!B$2:'Raw Data'!B$352)) + ($J$2-($K$2/_xlfn.STDEV.P('Raw Data'!B$2:'Raw Data'!B$352))*AVERAGE('Raw Data'!B$2:'Raw Data'!B$352))</f>
        <v>78.556271762996701</v>
      </c>
      <c r="C95" s="52">
        <f ca="1">'Raw Data'!C95*($K$2/_xlfn.STDEV.P('Raw Data'!C$2:'Raw Data'!C$352)) + ($J$2-($K$2/_xlfn.STDEV.P('Raw Data'!C$2:'Raw Data'!C$352))*AVERAGE('Raw Data'!C$2:'Raw Data'!C$352))</f>
        <v>78.105966627998555</v>
      </c>
      <c r="D95" s="52">
        <f ca="1">'Raw Data'!D95*($K$2/_xlfn.STDEV.P('Raw Data'!D$2:'Raw Data'!D$352)) + ($J$2-($K$2/_xlfn.STDEV.P('Raw Data'!D$2:'Raw Data'!D$352))*AVERAGE('Raw Data'!D$2:'Raw Data'!D$352))</f>
        <v>78.56</v>
      </c>
      <c r="E95" s="52">
        <f ca="1">IFERROR($J$4+('Raw Data'!H95-MIN('Raw Data'!H$2:'Raw Data'!H$352))*($J$3-$J$4)/(MAX('Raw Data'!H$2:'Raw Data'!H$352)-MIN('Raw Data'!H$2:'Raw Data'!H$352)),"")</f>
        <v>82.330223642172527</v>
      </c>
      <c r="F95" s="52">
        <f ca="1">IFERROR($J$4+('Raw Data'!I95-MIN('Raw Data'!I$2:'Raw Data'!I$352))*($J$3-$J$4)/(MAX('Raw Data'!I$2:'Raw Data'!I$352)-MIN('Raw Data'!I$2:'Raw Data'!I$352)),"")</f>
        <v>82.366417112299473</v>
      </c>
      <c r="G95" s="52">
        <f ca="1">IF(Bracket!$I$1="Composite",AVERAGE(B95:F95),IF(Bracket!$I$1="Kenpom",B95,IF(Bracket!$I$1="PVA",C95,IF(Bracket!$I$1="Sagarin Predictor",D95,IF(Bracket!$I$1="No Preseason",AVERAGE(B95:D95),"")))))</f>
        <v>79.983775829093446</v>
      </c>
      <c r="H95" s="63">
        <f t="shared" ca="1" si="1"/>
        <v>77</v>
      </c>
      <c r="I95" s="52"/>
      <c r="J95" s="52"/>
      <c r="K95" s="52"/>
    </row>
    <row r="96" spans="1:11" x14ac:dyDescent="0.3">
      <c r="A96" s="52" t="str">
        <f>'Raw Data'!A96</f>
        <v>UT Arlington</v>
      </c>
      <c r="B96" s="52">
        <f ca="1">'Raw Data'!B96*($K$2/_xlfn.STDEV.P('Raw Data'!B$2:'Raw Data'!B$352)) + ($J$2-($K$2/_xlfn.STDEV.P('Raw Data'!B$2:'Raw Data'!B$352))*AVERAGE('Raw Data'!B$2:'Raw Data'!B$352))</f>
        <v>79.265357342019215</v>
      </c>
      <c r="C96" s="52">
        <f ca="1">'Raw Data'!C96*($K$2/_xlfn.STDEV.P('Raw Data'!C$2:'Raw Data'!C$352)) + ($J$2-($K$2/_xlfn.STDEV.P('Raw Data'!C$2:'Raw Data'!C$352))*AVERAGE('Raw Data'!C$2:'Raw Data'!C$352))</f>
        <v>77.07202748988864</v>
      </c>
      <c r="D96" s="52">
        <f ca="1">'Raw Data'!D96*($K$2/_xlfn.STDEV.P('Raw Data'!D$2:'Raw Data'!D$352)) + ($J$2-($K$2/_xlfn.STDEV.P('Raw Data'!D$2:'Raw Data'!D$352))*AVERAGE('Raw Data'!D$2:'Raw Data'!D$352))</f>
        <v>77.819999999999993</v>
      </c>
      <c r="E96" s="52" t="str">
        <f ca="1">IFERROR($J$4+('Raw Data'!H96-MIN('Raw Data'!H$2:'Raw Data'!H$352))*($J$3-$J$4)/(MAX('Raw Data'!H$2:'Raw Data'!H$352)-MIN('Raw Data'!H$2:'Raw Data'!H$352)),"")</f>
        <v/>
      </c>
      <c r="F96" s="52" t="str">
        <f ca="1">IFERROR($J$4+('Raw Data'!I96-MIN('Raw Data'!I$2:'Raw Data'!I$352))*($J$3-$J$4)/(MAX('Raw Data'!I$2:'Raw Data'!I$352)-MIN('Raw Data'!I$2:'Raw Data'!I$352)),"")</f>
        <v/>
      </c>
      <c r="G96" s="52">
        <f ca="1">IF(Bracket!$I$1="Composite",AVERAGE(B96:F96),IF(Bracket!$I$1="Kenpom",B96,IF(Bracket!$I$1="PVA",C96,IF(Bracket!$I$1="Sagarin Predictor",D96,IF(Bracket!$I$1="No Preseason",AVERAGE(B96:D96),"")))))</f>
        <v>78.052461610635945</v>
      </c>
      <c r="H96" s="63">
        <f t="shared" ca="1" si="1"/>
        <v>101</v>
      </c>
      <c r="I96" s="52"/>
      <c r="J96" s="52"/>
      <c r="K96" s="52"/>
    </row>
    <row r="97" spans="1:11" x14ac:dyDescent="0.3">
      <c r="A97" s="52" t="str">
        <f>'Raw Data'!A97</f>
        <v>Marquette</v>
      </c>
      <c r="B97" s="52">
        <f ca="1">'Raw Data'!B97*($K$2/_xlfn.STDEV.P('Raw Data'!B$2:'Raw Data'!B$352)) + ($J$2-($K$2/_xlfn.STDEV.P('Raw Data'!B$2:'Raw Data'!B$352))*AVERAGE('Raw Data'!B$2:'Raw Data'!B$352))</f>
        <v>78.337511318404637</v>
      </c>
      <c r="C97" s="52">
        <f ca="1">'Raw Data'!C97*($K$2/_xlfn.STDEV.P('Raw Data'!C$2:'Raw Data'!C$352)) + ($J$2-($K$2/_xlfn.STDEV.P('Raw Data'!C$2:'Raw Data'!C$352))*AVERAGE('Raw Data'!C$2:'Raw Data'!C$352))</f>
        <v>77.847481843471073</v>
      </c>
      <c r="D97" s="52">
        <f ca="1">'Raw Data'!D97*($K$2/_xlfn.STDEV.P('Raw Data'!D$2:'Raw Data'!D$352)) + ($J$2-($K$2/_xlfn.STDEV.P('Raw Data'!D$2:'Raw Data'!D$352))*AVERAGE('Raw Data'!D$2:'Raw Data'!D$352))</f>
        <v>77.739999999999995</v>
      </c>
      <c r="E97" s="52" t="str">
        <f ca="1">IFERROR($J$4+('Raw Data'!H97-MIN('Raw Data'!H$2:'Raw Data'!H$352))*($J$3-$J$4)/(MAX('Raw Data'!H$2:'Raw Data'!H$352)-MIN('Raw Data'!H$2:'Raw Data'!H$352)),"")</f>
        <v/>
      </c>
      <c r="F97" s="52">
        <f ca="1">IFERROR($J$4+('Raw Data'!I97-MIN('Raw Data'!I$2:'Raw Data'!I$352))*($J$3-$J$4)/(MAX('Raw Data'!I$2:'Raw Data'!I$352)-MIN('Raw Data'!I$2:'Raw Data'!I$352)),"")</f>
        <v>82.31</v>
      </c>
      <c r="G97" s="52">
        <f ca="1">IF(Bracket!$I$1="Composite",AVERAGE(B97:F97),IF(Bracket!$I$1="Kenpom",B97,IF(Bracket!$I$1="PVA",C97,IF(Bracket!$I$1="Sagarin Predictor",D97,IF(Bracket!$I$1="No Preseason",AVERAGE(B97:D97),"")))))</f>
        <v>79.058748290468927</v>
      </c>
      <c r="H97" s="63">
        <f t="shared" ca="1" si="1"/>
        <v>86</v>
      </c>
      <c r="I97" s="52"/>
      <c r="J97" s="52"/>
      <c r="K97" s="52"/>
    </row>
    <row r="98" spans="1:11" x14ac:dyDescent="0.3">
      <c r="A98" s="52" t="str">
        <f>'Raw Data'!A98</f>
        <v>Nebraska</v>
      </c>
      <c r="B98" s="52">
        <f ca="1">'Raw Data'!B98*($K$2/_xlfn.STDEV.P('Raw Data'!B$2:'Raw Data'!B$352)) + ($J$2-($K$2/_xlfn.STDEV.P('Raw Data'!B$2:'Raw Data'!B$352))*AVERAGE('Raw Data'!B$2:'Raw Data'!B$352))</f>
        <v>78.699597571522531</v>
      </c>
      <c r="C98" s="52">
        <f ca="1">'Raw Data'!C98*($K$2/_xlfn.STDEV.P('Raw Data'!C$2:'Raw Data'!C$352)) + ($J$2-($K$2/_xlfn.STDEV.P('Raw Data'!C$2:'Raw Data'!C$352))*AVERAGE('Raw Data'!C$2:'Raw Data'!C$352))</f>
        <v>77.201269882152374</v>
      </c>
      <c r="D98" s="52">
        <f ca="1">'Raw Data'!D98*($K$2/_xlfn.STDEV.P('Raw Data'!D$2:'Raw Data'!D$352)) + ($J$2-($K$2/_xlfn.STDEV.P('Raw Data'!D$2:'Raw Data'!D$352))*AVERAGE('Raw Data'!D$2:'Raw Data'!D$352))</f>
        <v>79.38</v>
      </c>
      <c r="E98" s="52" t="str">
        <f ca="1">IFERROR($J$4+('Raw Data'!H98-MIN('Raw Data'!H$2:'Raw Data'!H$352))*($J$3-$J$4)/(MAX('Raw Data'!H$2:'Raw Data'!H$352)-MIN('Raw Data'!H$2:'Raw Data'!H$352)),"")</f>
        <v/>
      </c>
      <c r="F98" s="52" t="str">
        <f ca="1">IFERROR($J$4+('Raw Data'!I98-MIN('Raw Data'!I$2:'Raw Data'!I$352))*($J$3-$J$4)/(MAX('Raw Data'!I$2:'Raw Data'!I$352)-MIN('Raw Data'!I$2:'Raw Data'!I$352)),"")</f>
        <v/>
      </c>
      <c r="G98" s="52">
        <f ca="1">IF(Bracket!$I$1="Composite",AVERAGE(B98:F98),IF(Bracket!$I$1="Kenpom",B98,IF(Bracket!$I$1="PVA",C98,IF(Bracket!$I$1="Sagarin Predictor",D98,IF(Bracket!$I$1="No Preseason",AVERAGE(B98:D98),"")))))</f>
        <v>78.426955817891624</v>
      </c>
      <c r="H98" s="63">
        <f t="shared" ca="1" si="1"/>
        <v>95</v>
      </c>
      <c r="I98" s="52"/>
      <c r="J98" s="52"/>
      <c r="K98" s="52"/>
    </row>
    <row r="99" spans="1:11" x14ac:dyDescent="0.3">
      <c r="A99" s="52" t="str">
        <f>'Raw Data'!A99</f>
        <v>William &amp; Mary</v>
      </c>
      <c r="B99" s="52">
        <f ca="1">'Raw Data'!B99*($K$2/_xlfn.STDEV.P('Raw Data'!B$2:'Raw Data'!B$352)) + ($J$2-($K$2/_xlfn.STDEV.P('Raw Data'!B$2:'Raw Data'!B$352))*AVERAGE('Raw Data'!B$2:'Raw Data'!B$352))</f>
        <v>79.612356667923862</v>
      </c>
      <c r="C99" s="52">
        <f ca="1">'Raw Data'!C99*($K$2/_xlfn.STDEV.P('Raw Data'!C$2:'Raw Data'!C$352)) + ($J$2-($K$2/_xlfn.STDEV.P('Raw Data'!C$2:'Raw Data'!C$352))*AVERAGE('Raw Data'!C$2:'Raw Data'!C$352))</f>
        <v>78.235209020262289</v>
      </c>
      <c r="D99" s="52">
        <f ca="1">'Raw Data'!D99*($K$2/_xlfn.STDEV.P('Raw Data'!D$2:'Raw Data'!D$352)) + ($J$2-($K$2/_xlfn.STDEV.P('Raw Data'!D$2:'Raw Data'!D$352))*AVERAGE('Raw Data'!D$2:'Raw Data'!D$352))</f>
        <v>77.08</v>
      </c>
      <c r="E99" s="52" t="str">
        <f ca="1">IFERROR($J$4+('Raw Data'!H99-MIN('Raw Data'!H$2:'Raw Data'!H$352))*($J$3-$J$4)/(MAX('Raw Data'!H$2:'Raw Data'!H$352)-MIN('Raw Data'!H$2:'Raw Data'!H$352)),"")</f>
        <v/>
      </c>
      <c r="F99" s="52" t="str">
        <f ca="1">IFERROR($J$4+('Raw Data'!I99-MIN('Raw Data'!I$2:'Raw Data'!I$352))*($J$3-$J$4)/(MAX('Raw Data'!I$2:'Raw Data'!I$352)-MIN('Raw Data'!I$2:'Raw Data'!I$352)),"")</f>
        <v/>
      </c>
      <c r="G99" s="52">
        <f ca="1">IF(Bracket!$I$1="Composite",AVERAGE(B99:F99),IF(Bracket!$I$1="Kenpom",B99,IF(Bracket!$I$1="PVA",C99,IF(Bracket!$I$1="Sagarin Predictor",D99,IF(Bracket!$I$1="No Preseason",AVERAGE(B99:D99),"")))))</f>
        <v>78.309188562728707</v>
      </c>
      <c r="H99" s="63">
        <f t="shared" ca="1" si="1"/>
        <v>97</v>
      </c>
      <c r="I99" s="52"/>
      <c r="J99" s="52"/>
      <c r="K99" s="52"/>
    </row>
    <row r="100" spans="1:11" x14ac:dyDescent="0.3">
      <c r="A100" s="52" t="str">
        <f>'Raw Data'!A100</f>
        <v>Virginia Tech</v>
      </c>
      <c r="B100" s="52">
        <f ca="1">'Raw Data'!B100*($K$2/_xlfn.STDEV.P('Raw Data'!B$2:'Raw Data'!B$352)) + ($J$2-($K$2/_xlfn.STDEV.P('Raw Data'!B$2:'Raw Data'!B$352))*AVERAGE('Raw Data'!B$2:'Raw Data'!B$352))</f>
        <v>81.935743458763625</v>
      </c>
      <c r="C100" s="52">
        <f ca="1">'Raw Data'!C100*($K$2/_xlfn.STDEV.P('Raw Data'!C$2:'Raw Data'!C$352)) + ($J$2-($K$2/_xlfn.STDEV.P('Raw Data'!C$2:'Raw Data'!C$352))*AVERAGE('Raw Data'!C$2:'Raw Data'!C$352))</f>
        <v>79.527632942899686</v>
      </c>
      <c r="D100" s="52">
        <f ca="1">'Raw Data'!D100*($K$2/_xlfn.STDEV.P('Raw Data'!D$2:'Raw Data'!D$352)) + ($J$2-($K$2/_xlfn.STDEV.P('Raw Data'!D$2:'Raw Data'!D$352))*AVERAGE('Raw Data'!D$2:'Raw Data'!D$352))</f>
        <v>79.97</v>
      </c>
      <c r="E100" s="52" t="str">
        <f ca="1">IFERROR($J$4+('Raw Data'!H100-MIN('Raw Data'!H$2:'Raw Data'!H$352))*($J$3-$J$4)/(MAX('Raw Data'!H$2:'Raw Data'!H$352)-MIN('Raw Data'!H$2:'Raw Data'!H$352)),"")</f>
        <v/>
      </c>
      <c r="F100" s="52" t="str">
        <f ca="1">IFERROR($J$4+('Raw Data'!I100-MIN('Raw Data'!I$2:'Raw Data'!I$352))*($J$3-$J$4)/(MAX('Raw Data'!I$2:'Raw Data'!I$352)-MIN('Raw Data'!I$2:'Raw Data'!I$352)),"")</f>
        <v/>
      </c>
      <c r="G100" s="52">
        <f ca="1">IF(Bracket!$I$1="Composite",AVERAGE(B100:F100),IF(Bracket!$I$1="Kenpom",B100,IF(Bracket!$I$1="PVA",C100,IF(Bracket!$I$1="Sagarin Predictor",D100,IF(Bracket!$I$1="No Preseason",AVERAGE(B100:D100),"")))))</f>
        <v>80.477792133887775</v>
      </c>
      <c r="H100" s="63">
        <f t="shared" ca="1" si="1"/>
        <v>70</v>
      </c>
      <c r="I100" s="52"/>
      <c r="J100" s="52"/>
      <c r="K100" s="52"/>
    </row>
    <row r="101" spans="1:11" x14ac:dyDescent="0.3">
      <c r="A101" s="52" t="str">
        <f>'Raw Data'!A101</f>
        <v>Richmond</v>
      </c>
      <c r="B101" s="52">
        <f ca="1">'Raw Data'!B101*($K$2/_xlfn.STDEV.P('Raw Data'!B$2:'Raw Data'!B$352)) + ($J$2-($K$2/_xlfn.STDEV.P('Raw Data'!B$2:'Raw Data'!B$352))*AVERAGE('Raw Data'!B$2:'Raw Data'!B$352))</f>
        <v>77.436067417413227</v>
      </c>
      <c r="C101" s="52">
        <f ca="1">'Raw Data'!C101*($K$2/_xlfn.STDEV.P('Raw Data'!C$2:'Raw Data'!C$352)) + ($J$2-($K$2/_xlfn.STDEV.P('Raw Data'!C$2:'Raw Data'!C$352))*AVERAGE('Raw Data'!C$2:'Raw Data'!C$352))</f>
        <v>77.718239451207339</v>
      </c>
      <c r="D101" s="52">
        <f ca="1">'Raw Data'!D101*($K$2/_xlfn.STDEV.P('Raw Data'!D$2:'Raw Data'!D$352)) + ($J$2-($K$2/_xlfn.STDEV.P('Raw Data'!D$2:'Raw Data'!D$352))*AVERAGE('Raw Data'!D$2:'Raw Data'!D$352))</f>
        <v>77.81</v>
      </c>
      <c r="E101" s="52" t="str">
        <f ca="1">IFERROR($J$4+('Raw Data'!H101-MIN('Raw Data'!H$2:'Raw Data'!H$352))*($J$3-$J$4)/(MAX('Raw Data'!H$2:'Raw Data'!H$352)-MIN('Raw Data'!H$2:'Raw Data'!H$352)),"")</f>
        <v/>
      </c>
      <c r="F101" s="52" t="str">
        <f ca="1">IFERROR($J$4+('Raw Data'!I101-MIN('Raw Data'!I$2:'Raw Data'!I$352))*($J$3-$J$4)/(MAX('Raw Data'!I$2:'Raw Data'!I$352)-MIN('Raw Data'!I$2:'Raw Data'!I$352)),"")</f>
        <v/>
      </c>
      <c r="G101" s="52">
        <f ca="1">IF(Bracket!$I$1="Composite",AVERAGE(B101:F101),IF(Bracket!$I$1="Kenpom",B101,IF(Bracket!$I$1="PVA",C101,IF(Bracket!$I$1="Sagarin Predictor",D101,IF(Bracket!$I$1="No Preseason",AVERAGE(B101:D101),"")))))</f>
        <v>77.654768956206851</v>
      </c>
      <c r="H101" s="63">
        <f t="shared" ca="1" si="1"/>
        <v>104</v>
      </c>
      <c r="I101" s="52"/>
      <c r="J101" s="52"/>
      <c r="K101" s="52"/>
    </row>
    <row r="102" spans="1:11" x14ac:dyDescent="0.3">
      <c r="A102" s="52" t="str">
        <f>'Raw Data'!A102</f>
        <v>UC Irvine</v>
      </c>
      <c r="B102" s="52">
        <f ca="1">'Raw Data'!B102*($K$2/_xlfn.STDEV.P('Raw Data'!B$2:'Raw Data'!B$352)) + ($J$2-($K$2/_xlfn.STDEV.P('Raw Data'!B$2:'Raw Data'!B$352))*AVERAGE('Raw Data'!B$2:'Raw Data'!B$352))</f>
        <v>79.733052085629822</v>
      </c>
      <c r="C102" s="52">
        <f ca="1">'Raw Data'!C102*($K$2/_xlfn.STDEV.P('Raw Data'!C$2:'Raw Data'!C$352)) + ($J$2-($K$2/_xlfn.STDEV.P('Raw Data'!C$2:'Raw Data'!C$352))*AVERAGE('Raw Data'!C$2:'Raw Data'!C$352))</f>
        <v>77.201269882152374</v>
      </c>
      <c r="D102" s="52">
        <f ca="1">'Raw Data'!D102*($K$2/_xlfn.STDEV.P('Raw Data'!D$2:'Raw Data'!D$352)) + ($J$2-($K$2/_xlfn.STDEV.P('Raw Data'!D$2:'Raw Data'!D$352))*AVERAGE('Raw Data'!D$2:'Raw Data'!D$352))</f>
        <v>77.63</v>
      </c>
      <c r="E102" s="52">
        <f ca="1">IFERROR($J$4+('Raw Data'!H102-MIN('Raw Data'!H$2:'Raw Data'!H$352))*($J$3-$J$4)/(MAX('Raw Data'!H$2:'Raw Data'!H$352)-MIN('Raw Data'!H$2:'Raw Data'!H$352)),"")</f>
        <v>82.31</v>
      </c>
      <c r="F102" s="52" t="str">
        <f ca="1">IFERROR($J$4+('Raw Data'!I102-MIN('Raw Data'!I$2:'Raw Data'!I$352))*($J$3-$J$4)/(MAX('Raw Data'!I$2:'Raw Data'!I$352)-MIN('Raw Data'!I$2:'Raw Data'!I$352)),"")</f>
        <v/>
      </c>
      <c r="G102" s="52">
        <f ca="1">IF(Bracket!$I$1="Composite",AVERAGE(B102:F102),IF(Bracket!$I$1="Kenpom",B102,IF(Bracket!$I$1="PVA",C102,IF(Bracket!$I$1="Sagarin Predictor",D102,IF(Bracket!$I$1="No Preseason",AVERAGE(B102:D102),"")))))</f>
        <v>79.218580491945545</v>
      </c>
      <c r="H102" s="63">
        <f t="shared" ca="1" si="1"/>
        <v>84</v>
      </c>
      <c r="I102" s="52"/>
      <c r="J102" s="52"/>
      <c r="K102" s="52"/>
    </row>
    <row r="103" spans="1:11" x14ac:dyDescent="0.3">
      <c r="A103" s="52" t="str">
        <f>'Raw Data'!A103</f>
        <v>Columbia</v>
      </c>
      <c r="B103" s="52">
        <f ca="1">'Raw Data'!B103*($K$2/_xlfn.STDEV.P('Raw Data'!B$2:'Raw Data'!B$352)) + ($J$2-($K$2/_xlfn.STDEV.P('Raw Data'!B$2:'Raw Data'!B$352))*AVERAGE('Raw Data'!B$2:'Raw Data'!B$352))</f>
        <v>77.398350099380124</v>
      </c>
      <c r="C103" s="52">
        <f ca="1">'Raw Data'!C103*($K$2/_xlfn.STDEV.P('Raw Data'!C$2:'Raw Data'!C$352)) + ($J$2-($K$2/_xlfn.STDEV.P('Raw Data'!C$2:'Raw Data'!C$352))*AVERAGE('Raw Data'!C$2:'Raw Data'!C$352))</f>
        <v>75.262633998196279</v>
      </c>
      <c r="D103" s="52">
        <f ca="1">'Raw Data'!D103*($K$2/_xlfn.STDEV.P('Raw Data'!D$2:'Raw Data'!D$352)) + ($J$2-($K$2/_xlfn.STDEV.P('Raw Data'!D$2:'Raw Data'!D$352))*AVERAGE('Raw Data'!D$2:'Raw Data'!D$352))</f>
        <v>75.55</v>
      </c>
      <c r="E103" s="52" t="str">
        <f ca="1">IFERROR($J$4+('Raw Data'!H103-MIN('Raw Data'!H$2:'Raw Data'!H$352))*($J$3-$J$4)/(MAX('Raw Data'!H$2:'Raw Data'!H$352)-MIN('Raw Data'!H$2:'Raw Data'!H$352)),"")</f>
        <v/>
      </c>
      <c r="F103" s="52" t="str">
        <f ca="1">IFERROR($J$4+('Raw Data'!I103-MIN('Raw Data'!I$2:'Raw Data'!I$352))*($J$3-$J$4)/(MAX('Raw Data'!I$2:'Raw Data'!I$352)-MIN('Raw Data'!I$2:'Raw Data'!I$352)),"")</f>
        <v/>
      </c>
      <c r="G103" s="52">
        <f ca="1">IF(Bracket!$I$1="Composite",AVERAGE(B103:F103),IF(Bracket!$I$1="Kenpom",B103,IF(Bracket!$I$1="PVA",C103,IF(Bracket!$I$1="Sagarin Predictor",D103,IF(Bracket!$I$1="No Preseason",AVERAGE(B103:D103),"")))))</f>
        <v>76.070328032525467</v>
      </c>
      <c r="H103" s="63">
        <f t="shared" ca="1" si="1"/>
        <v>114</v>
      </c>
      <c r="I103" s="52"/>
      <c r="J103" s="52"/>
      <c r="K103" s="52"/>
    </row>
    <row r="104" spans="1:11" x14ac:dyDescent="0.3">
      <c r="A104" s="52" t="str">
        <f>'Raw Data'!A104</f>
        <v>Long Beach St</v>
      </c>
      <c r="B104" s="52">
        <f ca="1">'Raw Data'!B104*($K$2/_xlfn.STDEV.P('Raw Data'!B$2:'Raw Data'!B$352)) + ($J$2-($K$2/_xlfn.STDEV.P('Raw Data'!B$2:'Raw Data'!B$352))*AVERAGE('Raw Data'!B$2:'Raw Data'!B$352))</f>
        <v>79.212553096772865</v>
      </c>
      <c r="C104" s="52">
        <f ca="1">'Raw Data'!C104*($K$2/_xlfn.STDEV.P('Raw Data'!C$2:'Raw Data'!C$352)) + ($J$2-($K$2/_xlfn.STDEV.P('Raw Data'!C$2:'Raw Data'!C$352))*AVERAGE('Raw Data'!C$2:'Raw Data'!C$352))</f>
        <v>76.167330744042459</v>
      </c>
      <c r="D104" s="52">
        <f ca="1">'Raw Data'!D104*($K$2/_xlfn.STDEV.P('Raw Data'!D$2:'Raw Data'!D$352)) + ($J$2-($K$2/_xlfn.STDEV.P('Raw Data'!D$2:'Raw Data'!D$352))*AVERAGE('Raw Data'!D$2:'Raw Data'!D$352))</f>
        <v>76.349999999999994</v>
      </c>
      <c r="E104" s="52" t="str">
        <f ca="1">IFERROR($J$4+('Raw Data'!H104-MIN('Raw Data'!H$2:'Raw Data'!H$352))*($J$3-$J$4)/(MAX('Raw Data'!H$2:'Raw Data'!H$352)-MIN('Raw Data'!H$2:'Raw Data'!H$352)),"")</f>
        <v/>
      </c>
      <c r="F104" s="52" t="str">
        <f ca="1">IFERROR($J$4+('Raw Data'!I104-MIN('Raw Data'!I$2:'Raw Data'!I$352))*($J$3-$J$4)/(MAX('Raw Data'!I$2:'Raw Data'!I$352)-MIN('Raw Data'!I$2:'Raw Data'!I$352)),"")</f>
        <v/>
      </c>
      <c r="G104" s="52">
        <f ca="1">IF(Bracket!$I$1="Composite",AVERAGE(B104:F104),IF(Bracket!$I$1="Kenpom",B104,IF(Bracket!$I$1="PVA",C104,IF(Bracket!$I$1="Sagarin Predictor",D104,IF(Bracket!$I$1="No Preseason",AVERAGE(B104:D104),"")))))</f>
        <v>77.243294613605102</v>
      </c>
      <c r="H104" s="63">
        <f t="shared" ca="1" si="1"/>
        <v>107</v>
      </c>
      <c r="I104" s="52"/>
      <c r="J104" s="52"/>
      <c r="K104" s="52"/>
    </row>
    <row r="105" spans="1:11" x14ac:dyDescent="0.3">
      <c r="A105" s="52" t="str">
        <f>'Raw Data'!A105</f>
        <v>Albany</v>
      </c>
      <c r="B105" s="52">
        <f ca="1">'Raw Data'!B105*($K$2/_xlfn.STDEV.P('Raw Data'!B$2:'Raw Data'!B$352)) + ($J$2-($K$2/_xlfn.STDEV.P('Raw Data'!B$2:'Raw Data'!B$352))*AVERAGE('Raw Data'!B$2:'Raw Data'!B$352))</f>
        <v>76.429015025929118</v>
      </c>
      <c r="C105" s="52">
        <f ca="1">'Raw Data'!C105*($K$2/_xlfn.STDEV.P('Raw Data'!C$2:'Raw Data'!C$352)) + ($J$2-($K$2/_xlfn.STDEV.P('Raw Data'!C$2:'Raw Data'!C$352))*AVERAGE('Raw Data'!C$2:'Raw Data'!C$352))</f>
        <v>73.582482898767665</v>
      </c>
      <c r="D105" s="52">
        <f ca="1">'Raw Data'!D105*($K$2/_xlfn.STDEV.P('Raw Data'!D$2:'Raw Data'!D$352)) + ($J$2-($K$2/_xlfn.STDEV.P('Raw Data'!D$2:'Raw Data'!D$352))*AVERAGE('Raw Data'!D$2:'Raw Data'!D$352))</f>
        <v>74.680000000000007</v>
      </c>
      <c r="E105" s="52" t="str">
        <f ca="1">IFERROR($J$4+('Raw Data'!H105-MIN('Raw Data'!H$2:'Raw Data'!H$352))*($J$3-$J$4)/(MAX('Raw Data'!H$2:'Raw Data'!H$352)-MIN('Raw Data'!H$2:'Raw Data'!H$352)),"")</f>
        <v/>
      </c>
      <c r="F105" s="52" t="str">
        <f ca="1">IFERROR($J$4+('Raw Data'!I105-MIN('Raw Data'!I$2:'Raw Data'!I$352))*($J$3-$J$4)/(MAX('Raw Data'!I$2:'Raw Data'!I$352)-MIN('Raw Data'!I$2:'Raw Data'!I$352)),"")</f>
        <v/>
      </c>
      <c r="G105" s="52">
        <f ca="1">IF(Bracket!$I$1="Composite",AVERAGE(B105:F105),IF(Bracket!$I$1="Kenpom",B105,IF(Bracket!$I$1="PVA",C105,IF(Bracket!$I$1="Sagarin Predictor",D105,IF(Bracket!$I$1="No Preseason",AVERAGE(B105:D105),"")))))</f>
        <v>74.897165974898925</v>
      </c>
      <c r="H105" s="63">
        <f t="shared" ca="1" si="1"/>
        <v>126</v>
      </c>
      <c r="I105" s="52"/>
      <c r="J105" s="52"/>
      <c r="K105" s="52"/>
    </row>
    <row r="106" spans="1:11" x14ac:dyDescent="0.3">
      <c r="A106" s="52" t="str">
        <f>'Raw Data'!A106</f>
        <v>UCSB</v>
      </c>
      <c r="B106" s="52">
        <f ca="1">'Raw Data'!B106*($K$2/_xlfn.STDEV.P('Raw Data'!B$2:'Raw Data'!B$352)) + ($J$2-($K$2/_xlfn.STDEV.P('Raw Data'!B$2:'Raw Data'!B$352))*AVERAGE('Raw Data'!B$2:'Raw Data'!B$352))</f>
        <v>79.744367281039757</v>
      </c>
      <c r="C106" s="52">
        <f ca="1">'Raw Data'!C106*($K$2/_xlfn.STDEV.P('Raw Data'!C$2:'Raw Data'!C$352)) + ($J$2-($K$2/_xlfn.STDEV.P('Raw Data'!C$2:'Raw Data'!C$352))*AVERAGE('Raw Data'!C$2:'Raw Data'!C$352))</f>
        <v>75.133391605932545</v>
      </c>
      <c r="D106" s="52">
        <f ca="1">'Raw Data'!D106*($K$2/_xlfn.STDEV.P('Raw Data'!D$2:'Raw Data'!D$352)) + ($J$2-($K$2/_xlfn.STDEV.P('Raw Data'!D$2:'Raw Data'!D$352))*AVERAGE('Raw Data'!D$2:'Raw Data'!D$352))</f>
        <v>76.92</v>
      </c>
      <c r="E106" s="52" t="str">
        <f ca="1">IFERROR($J$4+('Raw Data'!H106-MIN('Raw Data'!H$2:'Raw Data'!H$352))*($J$3-$J$4)/(MAX('Raw Data'!H$2:'Raw Data'!H$352)-MIN('Raw Data'!H$2:'Raw Data'!H$352)),"")</f>
        <v/>
      </c>
      <c r="F106" s="52" t="str">
        <f ca="1">IFERROR($J$4+('Raw Data'!I106-MIN('Raw Data'!I$2:'Raw Data'!I$352))*($J$3-$J$4)/(MAX('Raw Data'!I$2:'Raw Data'!I$352)-MIN('Raw Data'!I$2:'Raw Data'!I$352)),"")</f>
        <v/>
      </c>
      <c r="G106" s="52">
        <f ca="1">IF(Bracket!$I$1="Composite",AVERAGE(B106:F106),IF(Bracket!$I$1="Kenpom",B106,IF(Bracket!$I$1="PVA",C106,IF(Bracket!$I$1="Sagarin Predictor",D106,IF(Bracket!$I$1="No Preseason",AVERAGE(B106:D106),"")))))</f>
        <v>77.265919628990773</v>
      </c>
      <c r="H106" s="63">
        <f t="shared" ca="1" si="1"/>
        <v>106</v>
      </c>
      <c r="I106" s="52"/>
      <c r="J106" s="52"/>
      <c r="K106" s="52"/>
    </row>
    <row r="107" spans="1:11" x14ac:dyDescent="0.3">
      <c r="A107" s="52" t="str">
        <f>'Raw Data'!A107</f>
        <v>Chattanooga</v>
      </c>
      <c r="B107" s="52">
        <f ca="1">'Raw Data'!B107*($K$2/_xlfn.STDEV.P('Raw Data'!B$2:'Raw Data'!B$352)) + ($J$2-($K$2/_xlfn.STDEV.P('Raw Data'!B$2:'Raw Data'!B$352))*AVERAGE('Raw Data'!B$2:'Raw Data'!B$352))</f>
        <v>77.205991777411242</v>
      </c>
      <c r="C107" s="52">
        <f ca="1">'Raw Data'!C107*($K$2/_xlfn.STDEV.P('Raw Data'!C$2:'Raw Data'!C$352)) + ($J$2-($K$2/_xlfn.STDEV.P('Raw Data'!C$2:'Raw Data'!C$352))*AVERAGE('Raw Data'!C$2:'Raw Data'!C$352))</f>
        <v>77.976724235734821</v>
      </c>
      <c r="D107" s="52">
        <f ca="1">'Raw Data'!D107*($K$2/_xlfn.STDEV.P('Raw Data'!D$2:'Raw Data'!D$352)) + ($J$2-($K$2/_xlfn.STDEV.P('Raw Data'!D$2:'Raw Data'!D$352))*AVERAGE('Raw Data'!D$2:'Raw Data'!D$352))</f>
        <v>75.790000000000006</v>
      </c>
      <c r="E107" s="52" t="str">
        <f ca="1">IFERROR($J$4+('Raw Data'!H107-MIN('Raw Data'!H$2:'Raw Data'!H$352))*($J$3-$J$4)/(MAX('Raw Data'!H$2:'Raw Data'!H$352)-MIN('Raw Data'!H$2:'Raw Data'!H$352)),"")</f>
        <v/>
      </c>
      <c r="F107" s="52" t="str">
        <f ca="1">IFERROR($J$4+('Raw Data'!I107-MIN('Raw Data'!I$2:'Raw Data'!I$352))*($J$3-$J$4)/(MAX('Raw Data'!I$2:'Raw Data'!I$352)-MIN('Raw Data'!I$2:'Raw Data'!I$352)),"")</f>
        <v/>
      </c>
      <c r="G107" s="52">
        <f ca="1">IF(Bracket!$I$1="Composite",AVERAGE(B107:F107),IF(Bracket!$I$1="Kenpom",B107,IF(Bracket!$I$1="PVA",C107,IF(Bracket!$I$1="Sagarin Predictor",D107,IF(Bracket!$I$1="No Preseason",AVERAGE(B107:D107),"")))))</f>
        <v>76.990905337715347</v>
      </c>
      <c r="H107" s="63">
        <f t="shared" ca="1" si="1"/>
        <v>109</v>
      </c>
      <c r="I107" s="52"/>
      <c r="J107" s="52"/>
      <c r="K107" s="52"/>
    </row>
    <row r="108" spans="1:11" x14ac:dyDescent="0.3">
      <c r="A108" s="52" t="str">
        <f>'Raw Data'!A108</f>
        <v>CSU Bakersfield</v>
      </c>
      <c r="B108" s="52">
        <f ca="1">'Raw Data'!B108*($K$2/_xlfn.STDEV.P('Raw Data'!B$2:'Raw Data'!B$352)) + ($J$2-($K$2/_xlfn.STDEV.P('Raw Data'!B$2:'Raw Data'!B$352))*AVERAGE('Raw Data'!B$2:'Raw Data'!B$352))</f>
        <v>79.29930292824902</v>
      </c>
      <c r="C108" s="52">
        <f ca="1">'Raw Data'!C108*($K$2/_xlfn.STDEV.P('Raw Data'!C$2:'Raw Data'!C$352)) + ($J$2-($K$2/_xlfn.STDEV.P('Raw Data'!C$2:'Raw Data'!C$352))*AVERAGE('Raw Data'!C$2:'Raw Data'!C$352))</f>
        <v>75.650361174987495</v>
      </c>
      <c r="D108" s="52">
        <f ca="1">'Raw Data'!D108*($K$2/_xlfn.STDEV.P('Raw Data'!D$2:'Raw Data'!D$352)) + ($J$2-($K$2/_xlfn.STDEV.P('Raw Data'!D$2:'Raw Data'!D$352))*AVERAGE('Raw Data'!D$2:'Raw Data'!D$352))</f>
        <v>75.209999999999994</v>
      </c>
      <c r="E108" s="52" t="str">
        <f ca="1">IFERROR($J$4+('Raw Data'!H108-MIN('Raw Data'!H$2:'Raw Data'!H$352))*($J$3-$J$4)/(MAX('Raw Data'!H$2:'Raw Data'!H$352)-MIN('Raw Data'!H$2:'Raw Data'!H$352)),"")</f>
        <v/>
      </c>
      <c r="F108" s="52" t="str">
        <f ca="1">IFERROR($J$4+('Raw Data'!I108-MIN('Raw Data'!I$2:'Raw Data'!I$352))*($J$3-$J$4)/(MAX('Raw Data'!I$2:'Raw Data'!I$352)-MIN('Raw Data'!I$2:'Raw Data'!I$352)),"")</f>
        <v/>
      </c>
      <c r="G108" s="52">
        <f ca="1">IF(Bracket!$I$1="Composite",AVERAGE(B108:F108),IF(Bracket!$I$1="Kenpom",B108,IF(Bracket!$I$1="PVA",C108,IF(Bracket!$I$1="Sagarin Predictor",D108,IF(Bracket!$I$1="No Preseason",AVERAGE(B108:D108),"")))))</f>
        <v>76.719888034412165</v>
      </c>
      <c r="H108" s="63">
        <f t="shared" ca="1" si="1"/>
        <v>110</v>
      </c>
      <c r="I108" s="52"/>
      <c r="J108" s="52"/>
      <c r="K108" s="52"/>
    </row>
    <row r="109" spans="1:11" x14ac:dyDescent="0.3">
      <c r="A109" s="52" t="str">
        <f>'Raw Data'!A109</f>
        <v>Siena</v>
      </c>
      <c r="B109" s="52">
        <f ca="1">'Raw Data'!B109*($K$2/_xlfn.STDEV.P('Raw Data'!B$2:'Raw Data'!B$352)) + ($J$2-($K$2/_xlfn.STDEV.P('Raw Data'!B$2:'Raw Data'!B$352))*AVERAGE('Raw Data'!B$2:'Raw Data'!B$352))</f>
        <v>75.704842519693344</v>
      </c>
      <c r="C109" s="52">
        <f ca="1">'Raw Data'!C109*($K$2/_xlfn.STDEV.P('Raw Data'!C$2:'Raw Data'!C$352)) + ($J$2-($K$2/_xlfn.STDEV.P('Raw Data'!C$2:'Raw Data'!C$352))*AVERAGE('Raw Data'!C$2:'Raw Data'!C$352))</f>
        <v>74.357937252350098</v>
      </c>
      <c r="D109" s="52">
        <f ca="1">'Raw Data'!D109*($K$2/_xlfn.STDEV.P('Raw Data'!D$2:'Raw Data'!D$352)) + ($J$2-($K$2/_xlfn.STDEV.P('Raw Data'!D$2:'Raw Data'!D$352))*AVERAGE('Raw Data'!D$2:'Raw Data'!D$352))</f>
        <v>74.790000000000006</v>
      </c>
      <c r="E109" s="52" t="str">
        <f ca="1">IFERROR($J$4+('Raw Data'!H109-MIN('Raw Data'!H$2:'Raw Data'!H$352))*($J$3-$J$4)/(MAX('Raw Data'!H$2:'Raw Data'!H$352)-MIN('Raw Data'!H$2:'Raw Data'!H$352)),"")</f>
        <v/>
      </c>
      <c r="F109" s="52" t="str">
        <f ca="1">IFERROR($J$4+('Raw Data'!I109-MIN('Raw Data'!I$2:'Raw Data'!I$352))*($J$3-$J$4)/(MAX('Raw Data'!I$2:'Raw Data'!I$352)-MIN('Raw Data'!I$2:'Raw Data'!I$352)),"")</f>
        <v/>
      </c>
      <c r="G109" s="52">
        <f ca="1">IF(Bracket!$I$1="Composite",AVERAGE(B109:F109),IF(Bracket!$I$1="Kenpom",B109,IF(Bracket!$I$1="PVA",C109,IF(Bracket!$I$1="Sagarin Predictor",D109,IF(Bracket!$I$1="No Preseason",AVERAGE(B109:D109),"")))))</f>
        <v>74.950926590681149</v>
      </c>
      <c r="H109" s="63">
        <f t="shared" ca="1" si="1"/>
        <v>125</v>
      </c>
      <c r="I109" s="52"/>
      <c r="J109" s="52"/>
      <c r="K109" s="52"/>
    </row>
    <row r="110" spans="1:11" x14ac:dyDescent="0.3">
      <c r="A110" s="52" t="str">
        <f>'Raw Data'!A110</f>
        <v>Tennessee</v>
      </c>
      <c r="B110" s="52">
        <f ca="1">'Raw Data'!B110*($K$2/_xlfn.STDEV.P('Raw Data'!B$2:'Raw Data'!B$352)) + ($J$2-($K$2/_xlfn.STDEV.P('Raw Data'!B$2:'Raw Data'!B$352))*AVERAGE('Raw Data'!B$2:'Raw Data'!B$352))</f>
        <v>77.194676582001307</v>
      </c>
      <c r="C110" s="52">
        <f ca="1">'Raw Data'!C110*($K$2/_xlfn.STDEV.P('Raw Data'!C$2:'Raw Data'!C$352)) + ($J$2-($K$2/_xlfn.STDEV.P('Raw Data'!C$2:'Raw Data'!C$352))*AVERAGE('Raw Data'!C$2:'Raw Data'!C$352))</f>
        <v>77.201269882152374</v>
      </c>
      <c r="D110" s="52">
        <f ca="1">'Raw Data'!D110*($K$2/_xlfn.STDEV.P('Raw Data'!D$2:'Raw Data'!D$352)) + ($J$2-($K$2/_xlfn.STDEV.P('Raw Data'!D$2:'Raw Data'!D$352))*AVERAGE('Raw Data'!D$2:'Raw Data'!D$352))</f>
        <v>78.349999999999994</v>
      </c>
      <c r="E110" s="52" t="str">
        <f ca="1">IFERROR($J$4+('Raw Data'!H110-MIN('Raw Data'!H$2:'Raw Data'!H$352))*($J$3-$J$4)/(MAX('Raw Data'!H$2:'Raw Data'!H$352)-MIN('Raw Data'!H$2:'Raw Data'!H$352)),"")</f>
        <v/>
      </c>
      <c r="F110" s="52" t="str">
        <f ca="1">IFERROR($J$4+('Raw Data'!I110-MIN('Raw Data'!I$2:'Raw Data'!I$352))*($J$3-$J$4)/(MAX('Raw Data'!I$2:'Raw Data'!I$352)-MIN('Raw Data'!I$2:'Raw Data'!I$352)),"")</f>
        <v/>
      </c>
      <c r="G110" s="52">
        <f ca="1">IF(Bracket!$I$1="Composite",AVERAGE(B110:F110),IF(Bracket!$I$1="Kenpom",B110,IF(Bracket!$I$1="PVA",C110,IF(Bracket!$I$1="Sagarin Predictor",D110,IF(Bracket!$I$1="No Preseason",AVERAGE(B110:D110),"")))))</f>
        <v>77.581982154717892</v>
      </c>
      <c r="H110" s="63">
        <f t="shared" ca="1" si="1"/>
        <v>105</v>
      </c>
      <c r="I110" s="52"/>
      <c r="J110" s="52"/>
      <c r="K110" s="52"/>
    </row>
    <row r="111" spans="1:11" x14ac:dyDescent="0.3">
      <c r="A111" s="52" t="str">
        <f>'Raw Data'!A111</f>
        <v>Davidson</v>
      </c>
      <c r="B111" s="52">
        <f ca="1">'Raw Data'!B111*($K$2/_xlfn.STDEV.P('Raw Data'!B$2:'Raw Data'!B$352)) + ($J$2-($K$2/_xlfn.STDEV.P('Raw Data'!B$2:'Raw Data'!B$352))*AVERAGE('Raw Data'!B$2:'Raw Data'!B$352))</f>
        <v>77.040035578065556</v>
      </c>
      <c r="C111" s="52">
        <f ca="1">'Raw Data'!C111*($K$2/_xlfn.STDEV.P('Raw Data'!C$2:'Raw Data'!C$352)) + ($J$2-($K$2/_xlfn.STDEV.P('Raw Data'!C$2:'Raw Data'!C$352))*AVERAGE('Raw Data'!C$2:'Raw Data'!C$352))</f>
        <v>77.201269882152374</v>
      </c>
      <c r="D111" s="52">
        <f ca="1">'Raw Data'!D111*($K$2/_xlfn.STDEV.P('Raw Data'!D$2:'Raw Data'!D$352)) + ($J$2-($K$2/_xlfn.STDEV.P('Raw Data'!D$2:'Raw Data'!D$352))*AVERAGE('Raw Data'!D$2:'Raw Data'!D$352))</f>
        <v>76.56</v>
      </c>
      <c r="E111" s="52" t="str">
        <f ca="1">IFERROR($J$4+('Raw Data'!H111-MIN('Raw Data'!H$2:'Raw Data'!H$352))*($J$3-$J$4)/(MAX('Raw Data'!H$2:'Raw Data'!H$352)-MIN('Raw Data'!H$2:'Raw Data'!H$352)),"")</f>
        <v/>
      </c>
      <c r="F111" s="52">
        <f ca="1">IFERROR($J$4+('Raw Data'!I111-MIN('Raw Data'!I$2:'Raw Data'!I$352))*($J$3-$J$4)/(MAX('Raw Data'!I$2:'Raw Data'!I$352)-MIN('Raw Data'!I$2:'Raw Data'!I$352)),"")</f>
        <v>82.366417112299473</v>
      </c>
      <c r="G111" s="52">
        <f ca="1">IF(Bracket!$I$1="Composite",AVERAGE(B111:F111),IF(Bracket!$I$1="Kenpom",B111,IF(Bracket!$I$1="PVA",C111,IF(Bracket!$I$1="Sagarin Predictor",D111,IF(Bracket!$I$1="No Preseason",AVERAGE(B111:D111),"")))))</f>
        <v>78.291930643129348</v>
      </c>
      <c r="H111" s="63">
        <f t="shared" ca="1" si="1"/>
        <v>98</v>
      </c>
      <c r="I111" s="52"/>
      <c r="J111" s="52"/>
      <c r="K111" s="52"/>
    </row>
    <row r="112" spans="1:11" x14ac:dyDescent="0.3">
      <c r="A112" s="52" t="str">
        <f>'Raw Data'!A112</f>
        <v>Memphis</v>
      </c>
      <c r="B112" s="52">
        <f ca="1">'Raw Data'!B112*($K$2/_xlfn.STDEV.P('Raw Data'!B$2:'Raw Data'!B$352)) + ($J$2-($K$2/_xlfn.STDEV.P('Raw Data'!B$2:'Raw Data'!B$352))*AVERAGE('Raw Data'!B$2:'Raw Data'!B$352))</f>
        <v>80.634495986621232</v>
      </c>
      <c r="C112" s="52">
        <f ca="1">'Raw Data'!C112*($K$2/_xlfn.STDEV.P('Raw Data'!C$2:'Raw Data'!C$352)) + ($J$2-($K$2/_xlfn.STDEV.P('Raw Data'!C$2:'Raw Data'!C$352))*AVERAGE('Raw Data'!C$2:'Raw Data'!C$352))</f>
        <v>79.527632942899686</v>
      </c>
      <c r="D112" s="52">
        <f ca="1">'Raw Data'!D112*($K$2/_xlfn.STDEV.P('Raw Data'!D$2:'Raw Data'!D$352)) + ($J$2-($K$2/_xlfn.STDEV.P('Raw Data'!D$2:'Raw Data'!D$352))*AVERAGE('Raw Data'!D$2:'Raw Data'!D$352))</f>
        <v>79.98</v>
      </c>
      <c r="E112" s="52" t="str">
        <f ca="1">IFERROR($J$4+('Raw Data'!H112-MIN('Raw Data'!H$2:'Raw Data'!H$352))*($J$3-$J$4)/(MAX('Raw Data'!H$2:'Raw Data'!H$352)-MIN('Raw Data'!H$2:'Raw Data'!H$352)),"")</f>
        <v/>
      </c>
      <c r="F112" s="52" t="str">
        <f ca="1">IFERROR($J$4+('Raw Data'!I112-MIN('Raw Data'!I$2:'Raw Data'!I$352))*($J$3-$J$4)/(MAX('Raw Data'!I$2:'Raw Data'!I$352)-MIN('Raw Data'!I$2:'Raw Data'!I$352)),"")</f>
        <v/>
      </c>
      <c r="G112" s="52">
        <f ca="1">IF(Bracket!$I$1="Composite",AVERAGE(B112:F112),IF(Bracket!$I$1="Kenpom",B112,IF(Bracket!$I$1="PVA",C112,IF(Bracket!$I$1="Sagarin Predictor",D112,IF(Bracket!$I$1="No Preseason",AVERAGE(B112:D112),"")))))</f>
        <v>80.047376309840317</v>
      </c>
      <c r="H112" s="63">
        <f t="shared" ca="1" si="1"/>
        <v>74</v>
      </c>
      <c r="I112" s="52"/>
      <c r="J112" s="52"/>
      <c r="K112" s="52"/>
    </row>
    <row r="113" spans="1:11" x14ac:dyDescent="0.3">
      <c r="A113" s="52" t="str">
        <f>'Raw Data'!A113</f>
        <v>Milwaukee</v>
      </c>
      <c r="B113" s="52">
        <f ca="1">'Raw Data'!B113*($K$2/_xlfn.STDEV.P('Raw Data'!B$2:'Raw Data'!B$352)) + ($J$2-($K$2/_xlfn.STDEV.P('Raw Data'!B$2:'Raw Data'!B$352))*AVERAGE('Raw Data'!B$2:'Raw Data'!B$352))</f>
        <v>76.149906872484081</v>
      </c>
      <c r="C113" s="52">
        <f ca="1">'Raw Data'!C113*($K$2/_xlfn.STDEV.P('Raw Data'!C$2:'Raw Data'!C$352)) + ($J$2-($K$2/_xlfn.STDEV.P('Raw Data'!C$2:'Raw Data'!C$352))*AVERAGE('Raw Data'!C$2:'Raw Data'!C$352))</f>
        <v>75.133391605932545</v>
      </c>
      <c r="D113" s="52">
        <f ca="1">'Raw Data'!D113*($K$2/_xlfn.STDEV.P('Raw Data'!D$2:'Raw Data'!D$352)) + ($J$2-($K$2/_xlfn.STDEV.P('Raw Data'!D$2:'Raw Data'!D$352))*AVERAGE('Raw Data'!D$2:'Raw Data'!D$352))</f>
        <v>75.36</v>
      </c>
      <c r="E113" s="52" t="str">
        <f ca="1">IFERROR($J$4+('Raw Data'!H113-MIN('Raw Data'!H$2:'Raw Data'!H$352))*($J$3-$J$4)/(MAX('Raw Data'!H$2:'Raw Data'!H$352)-MIN('Raw Data'!H$2:'Raw Data'!H$352)),"")</f>
        <v/>
      </c>
      <c r="F113" s="52" t="str">
        <f ca="1">IFERROR($J$4+('Raw Data'!I113-MIN('Raw Data'!I$2:'Raw Data'!I$352))*($J$3-$J$4)/(MAX('Raw Data'!I$2:'Raw Data'!I$352)-MIN('Raw Data'!I$2:'Raw Data'!I$352)),"")</f>
        <v/>
      </c>
      <c r="G113" s="52">
        <f ca="1">IF(Bracket!$I$1="Composite",AVERAGE(B113:F113),IF(Bracket!$I$1="Kenpom",B113,IF(Bracket!$I$1="PVA",C113,IF(Bracket!$I$1="Sagarin Predictor",D113,IF(Bracket!$I$1="No Preseason",AVERAGE(B113:D113),"")))))</f>
        <v>75.547766159472204</v>
      </c>
      <c r="H113" s="63">
        <f t="shared" ca="1" si="1"/>
        <v>119</v>
      </c>
      <c r="I113" s="52"/>
      <c r="J113" s="52"/>
      <c r="K113" s="52"/>
    </row>
    <row r="114" spans="1:11" x14ac:dyDescent="0.3">
      <c r="A114" s="52" t="str">
        <f>'Raw Data'!A114</f>
        <v>LA Lafayette</v>
      </c>
      <c r="B114" s="52">
        <f ca="1">'Raw Data'!B114*($K$2/_xlfn.STDEV.P('Raw Data'!B$2:'Raw Data'!B$352)) + ($J$2-($K$2/_xlfn.STDEV.P('Raw Data'!B$2:'Raw Data'!B$352))*AVERAGE('Raw Data'!B$2:'Raw Data'!B$352))</f>
        <v>77.83964272036755</v>
      </c>
      <c r="C114" s="52">
        <f ca="1">'Raw Data'!C114*($K$2/_xlfn.STDEV.P('Raw Data'!C$2:'Raw Data'!C$352)) + ($J$2-($K$2/_xlfn.STDEV.P('Raw Data'!C$2:'Raw Data'!C$352))*AVERAGE('Raw Data'!C$2:'Raw Data'!C$352))</f>
        <v>74.09945246782263</v>
      </c>
      <c r="D114" s="52">
        <f ca="1">'Raw Data'!D114*($K$2/_xlfn.STDEV.P('Raw Data'!D$2:'Raw Data'!D$352)) + ($J$2-($K$2/_xlfn.STDEV.P('Raw Data'!D$2:'Raw Data'!D$352))*AVERAGE('Raw Data'!D$2:'Raw Data'!D$352))</f>
        <v>75.430000000000007</v>
      </c>
      <c r="E114" s="52" t="str">
        <f ca="1">IFERROR($J$4+('Raw Data'!H114-MIN('Raw Data'!H$2:'Raw Data'!H$352))*($J$3-$J$4)/(MAX('Raw Data'!H$2:'Raw Data'!H$352)-MIN('Raw Data'!H$2:'Raw Data'!H$352)),"")</f>
        <v/>
      </c>
      <c r="F114" s="52" t="str">
        <f ca="1">IFERROR($J$4+('Raw Data'!I114-MIN('Raw Data'!I$2:'Raw Data'!I$352))*($J$3-$J$4)/(MAX('Raw Data'!I$2:'Raw Data'!I$352)-MIN('Raw Data'!I$2:'Raw Data'!I$352)),"")</f>
        <v/>
      </c>
      <c r="G114" s="52">
        <f ca="1">IF(Bracket!$I$1="Composite",AVERAGE(B114:F114),IF(Bracket!$I$1="Kenpom",B114,IF(Bracket!$I$1="PVA",C114,IF(Bracket!$I$1="Sagarin Predictor",D114,IF(Bracket!$I$1="No Preseason",AVERAGE(B114:D114),"")))))</f>
        <v>75.7896983960634</v>
      </c>
      <c r="H114" s="63">
        <f t="shared" ca="1" si="1"/>
        <v>116</v>
      </c>
      <c r="I114" s="52"/>
      <c r="J114" s="52"/>
      <c r="K114" s="52"/>
    </row>
    <row r="115" spans="1:11" x14ac:dyDescent="0.3">
      <c r="A115" s="52" t="str">
        <f>'Raw Data'!A115</f>
        <v>Illinois State</v>
      </c>
      <c r="B115" s="52">
        <f ca="1">'Raw Data'!B115*($K$2/_xlfn.STDEV.P('Raw Data'!B$2:'Raw Data'!B$352)) + ($J$2-($K$2/_xlfn.STDEV.P('Raw Data'!B$2:'Raw Data'!B$352))*AVERAGE('Raw Data'!B$2:'Raw Data'!B$352))</f>
        <v>76.723210106587402</v>
      </c>
      <c r="C115" s="52">
        <f ca="1">'Raw Data'!C115*($K$2/_xlfn.STDEV.P('Raw Data'!C$2:'Raw Data'!C$352)) + ($J$2-($K$2/_xlfn.STDEV.P('Raw Data'!C$2:'Raw Data'!C$352))*AVERAGE('Raw Data'!C$2:'Raw Data'!C$352))</f>
        <v>73.453240506503931</v>
      </c>
      <c r="D115" s="52">
        <f ca="1">'Raw Data'!D115*($K$2/_xlfn.STDEV.P('Raw Data'!D$2:'Raw Data'!D$352)) + ($J$2-($K$2/_xlfn.STDEV.P('Raw Data'!D$2:'Raw Data'!D$352))*AVERAGE('Raw Data'!D$2:'Raw Data'!D$352))</f>
        <v>75.010000000000005</v>
      </c>
      <c r="E115" s="52" t="str">
        <f ca="1">IFERROR($J$4+('Raw Data'!H115-MIN('Raw Data'!H$2:'Raw Data'!H$352))*($J$3-$J$4)/(MAX('Raw Data'!H$2:'Raw Data'!H$352)-MIN('Raw Data'!H$2:'Raw Data'!H$352)),"")</f>
        <v/>
      </c>
      <c r="F115" s="52" t="str">
        <f ca="1">IFERROR($J$4+('Raw Data'!I115-MIN('Raw Data'!I$2:'Raw Data'!I$352))*($J$3-$J$4)/(MAX('Raw Data'!I$2:'Raw Data'!I$352)-MIN('Raw Data'!I$2:'Raw Data'!I$352)),"")</f>
        <v/>
      </c>
      <c r="G115" s="52">
        <f ca="1">IF(Bracket!$I$1="Composite",AVERAGE(B115:F115),IF(Bracket!$I$1="Kenpom",B115,IF(Bracket!$I$1="PVA",C115,IF(Bracket!$I$1="Sagarin Predictor",D115,IF(Bracket!$I$1="No Preseason",AVERAGE(B115:D115),"")))))</f>
        <v>75.062150204363775</v>
      </c>
      <c r="H115" s="63">
        <f t="shared" ca="1" si="1"/>
        <v>121</v>
      </c>
      <c r="I115" s="52"/>
      <c r="J115" s="52"/>
      <c r="K115" s="52"/>
    </row>
    <row r="116" spans="1:11" x14ac:dyDescent="0.3">
      <c r="A116" s="52" t="str">
        <f>'Raw Data'!A116</f>
        <v>UAB</v>
      </c>
      <c r="B116" s="52">
        <f ca="1">'Raw Data'!B116*($K$2/_xlfn.STDEV.P('Raw Data'!B$2:'Raw Data'!B$352)) + ($J$2-($K$2/_xlfn.STDEV.P('Raw Data'!B$2:'Raw Data'!B$352))*AVERAGE('Raw Data'!B$2:'Raw Data'!B$352))</f>
        <v>76.911796696752972</v>
      </c>
      <c r="C116" s="52">
        <f ca="1">'Raw Data'!C116*($K$2/_xlfn.STDEV.P('Raw Data'!C$2:'Raw Data'!C$352)) + ($J$2-($K$2/_xlfn.STDEV.P('Raw Data'!C$2:'Raw Data'!C$352))*AVERAGE('Raw Data'!C$2:'Raw Data'!C$352))</f>
        <v>75.521118782723761</v>
      </c>
      <c r="D116" s="52">
        <f ca="1">'Raw Data'!D116*($K$2/_xlfn.STDEV.P('Raw Data'!D$2:'Raw Data'!D$352)) + ($J$2-($K$2/_xlfn.STDEV.P('Raw Data'!D$2:'Raw Data'!D$352))*AVERAGE('Raw Data'!D$2:'Raw Data'!D$352))</f>
        <v>75.88</v>
      </c>
      <c r="E116" s="52" t="str">
        <f ca="1">IFERROR($J$4+('Raw Data'!H116-MIN('Raw Data'!H$2:'Raw Data'!H$352))*($J$3-$J$4)/(MAX('Raw Data'!H$2:'Raw Data'!H$352)-MIN('Raw Data'!H$2:'Raw Data'!H$352)),"")</f>
        <v/>
      </c>
      <c r="F116" s="52" t="str">
        <f ca="1">IFERROR($J$4+('Raw Data'!I116-MIN('Raw Data'!I$2:'Raw Data'!I$352))*($J$3-$J$4)/(MAX('Raw Data'!I$2:'Raw Data'!I$352)-MIN('Raw Data'!I$2:'Raw Data'!I$352)),"")</f>
        <v/>
      </c>
      <c r="G116" s="52">
        <f ca="1">IF(Bracket!$I$1="Composite",AVERAGE(B116:F116),IF(Bracket!$I$1="Kenpom",B116,IF(Bracket!$I$1="PVA",C116,IF(Bracket!$I$1="Sagarin Predictor",D116,IF(Bracket!$I$1="No Preseason",AVERAGE(B116:D116),"")))))</f>
        <v>76.104305159825572</v>
      </c>
      <c r="H116" s="63">
        <f t="shared" ca="1" si="1"/>
        <v>113</v>
      </c>
      <c r="I116" s="52"/>
      <c r="J116" s="52"/>
      <c r="K116" s="52"/>
    </row>
    <row r="117" spans="1:11" x14ac:dyDescent="0.3">
      <c r="A117" s="52" t="str">
        <f>'Raw Data'!A117</f>
        <v>UNLV</v>
      </c>
      <c r="B117" s="52">
        <f ca="1">'Raw Data'!B117*($K$2/_xlfn.STDEV.P('Raw Data'!B$2:'Raw Data'!B$352)) + ($J$2-($K$2/_xlfn.STDEV.P('Raw Data'!B$2:'Raw Data'!B$352))*AVERAGE('Raw Data'!B$2:'Raw Data'!B$352))</f>
        <v>74.501660074437041</v>
      </c>
      <c r="C117" s="52">
        <f ca="1">'Raw Data'!C117*($K$2/_xlfn.STDEV.P('Raw Data'!C$2:'Raw Data'!C$352)) + ($J$2-($K$2/_xlfn.STDEV.P('Raw Data'!C$2:'Raw Data'!C$352))*AVERAGE('Raw Data'!C$2:'Raw Data'!C$352))</f>
        <v>76.038088351778725</v>
      </c>
      <c r="D117" s="52">
        <f ca="1">'Raw Data'!D117*($K$2/_xlfn.STDEV.P('Raw Data'!D$2:'Raw Data'!D$352)) + ($J$2-($K$2/_xlfn.STDEV.P('Raw Data'!D$2:'Raw Data'!D$352))*AVERAGE('Raw Data'!D$2:'Raw Data'!D$352))</f>
        <v>76.540000000000006</v>
      </c>
      <c r="E117" s="52" t="str">
        <f ca="1">IFERROR($J$4+('Raw Data'!H117-MIN('Raw Data'!H$2:'Raw Data'!H$352))*($J$3-$J$4)/(MAX('Raw Data'!H$2:'Raw Data'!H$352)-MIN('Raw Data'!H$2:'Raw Data'!H$352)),"")</f>
        <v/>
      </c>
      <c r="F117" s="52" t="str">
        <f ca="1">IFERROR($J$4+('Raw Data'!I117-MIN('Raw Data'!I$2:'Raw Data'!I$352))*($J$3-$J$4)/(MAX('Raw Data'!I$2:'Raw Data'!I$352)-MIN('Raw Data'!I$2:'Raw Data'!I$352)),"")</f>
        <v/>
      </c>
      <c r="G117" s="52">
        <f ca="1">IF(Bracket!$I$1="Composite",AVERAGE(B117:F117),IF(Bracket!$I$1="Kenpom",B117,IF(Bracket!$I$1="PVA",C117,IF(Bracket!$I$1="Sagarin Predictor",D117,IF(Bracket!$I$1="No Preseason",AVERAGE(B117:D117),"")))))</f>
        <v>75.693249475405253</v>
      </c>
      <c r="H117" s="63">
        <f t="shared" ca="1" si="1"/>
        <v>118</v>
      </c>
      <c r="I117" s="52"/>
      <c r="J117" s="52"/>
      <c r="K117" s="52"/>
    </row>
    <row r="118" spans="1:11" x14ac:dyDescent="0.3">
      <c r="A118" s="52" t="str">
        <f>'Raw Data'!A118</f>
        <v>New Mexico St</v>
      </c>
      <c r="B118" s="52">
        <f ca="1">'Raw Data'!B118*($K$2/_xlfn.STDEV.P('Raw Data'!B$2:'Raw Data'!B$352)) + ($J$2-($K$2/_xlfn.STDEV.P('Raw Data'!B$2:'Raw Data'!B$352))*AVERAGE('Raw Data'!B$2:'Raw Data'!B$352))</f>
        <v>78.254533218731794</v>
      </c>
      <c r="C118" s="52">
        <f ca="1">'Raw Data'!C118*($K$2/_xlfn.STDEV.P('Raw Data'!C$2:'Raw Data'!C$352)) + ($J$2-($K$2/_xlfn.STDEV.P('Raw Data'!C$2:'Raw Data'!C$352))*AVERAGE('Raw Data'!C$2:'Raw Data'!C$352))</f>
        <v>75.133391605932545</v>
      </c>
      <c r="D118" s="52">
        <f ca="1">'Raw Data'!D118*($K$2/_xlfn.STDEV.P('Raw Data'!D$2:'Raw Data'!D$352)) + ($J$2-($K$2/_xlfn.STDEV.P('Raw Data'!D$2:'Raw Data'!D$352))*AVERAGE('Raw Data'!D$2:'Raw Data'!D$352))</f>
        <v>76.040000000000006</v>
      </c>
      <c r="E118" s="52" t="str">
        <f ca="1">IFERROR($J$4+('Raw Data'!H118-MIN('Raw Data'!H$2:'Raw Data'!H$352))*($J$3-$J$4)/(MAX('Raw Data'!H$2:'Raw Data'!H$352)-MIN('Raw Data'!H$2:'Raw Data'!H$352)),"")</f>
        <v/>
      </c>
      <c r="F118" s="52" t="str">
        <f ca="1">IFERROR($J$4+('Raw Data'!I118-MIN('Raw Data'!I$2:'Raw Data'!I$352))*($J$3-$J$4)/(MAX('Raw Data'!I$2:'Raw Data'!I$352)-MIN('Raw Data'!I$2:'Raw Data'!I$352)),"")</f>
        <v/>
      </c>
      <c r="G118" s="52">
        <f ca="1">IF(Bracket!$I$1="Composite",AVERAGE(B118:F118),IF(Bracket!$I$1="Kenpom",B118,IF(Bracket!$I$1="PVA",C118,IF(Bracket!$I$1="Sagarin Predictor",D118,IF(Bracket!$I$1="No Preseason",AVERAGE(B118:D118),"")))))</f>
        <v>76.475974941554782</v>
      </c>
      <c r="H118" s="63">
        <f t="shared" ca="1" si="1"/>
        <v>112</v>
      </c>
      <c r="I118" s="52"/>
      <c r="J118" s="52"/>
      <c r="K118" s="52"/>
    </row>
    <row r="119" spans="1:11" x14ac:dyDescent="0.3">
      <c r="A119" s="52" t="str">
        <f>'Raw Data'!A119</f>
        <v>Charleston</v>
      </c>
      <c r="B119" s="52">
        <f ca="1">'Raw Data'!B119*($K$2/_xlfn.STDEV.P('Raw Data'!B$2:'Raw Data'!B$352)) + ($J$2-($K$2/_xlfn.STDEV.P('Raw Data'!B$2:'Raw Data'!B$352))*AVERAGE('Raw Data'!B$2:'Raw Data'!B$352))</f>
        <v>76.040526650188056</v>
      </c>
      <c r="C119" s="52">
        <f ca="1">'Raw Data'!C119*($K$2/_xlfn.STDEV.P('Raw Data'!C$2:'Raw Data'!C$352)) + ($J$2-($K$2/_xlfn.STDEV.P('Raw Data'!C$2:'Raw Data'!C$352))*AVERAGE('Raw Data'!C$2:'Raw Data'!C$352))</f>
        <v>75.004149213668796</v>
      </c>
      <c r="D119" s="52">
        <f ca="1">'Raw Data'!D119*($K$2/_xlfn.STDEV.P('Raw Data'!D$2:'Raw Data'!D$352)) + ($J$2-($K$2/_xlfn.STDEV.P('Raw Data'!D$2:'Raw Data'!D$352))*AVERAGE('Raw Data'!D$2:'Raw Data'!D$352))</f>
        <v>73.989999999999995</v>
      </c>
      <c r="E119" s="52" t="str">
        <f ca="1">IFERROR($J$4+('Raw Data'!H119-MIN('Raw Data'!H$2:'Raw Data'!H$352))*($J$3-$J$4)/(MAX('Raw Data'!H$2:'Raw Data'!H$352)-MIN('Raw Data'!H$2:'Raw Data'!H$352)),"")</f>
        <v/>
      </c>
      <c r="F119" s="52" t="str">
        <f ca="1">IFERROR($J$4+('Raw Data'!I119-MIN('Raw Data'!I$2:'Raw Data'!I$352))*($J$3-$J$4)/(MAX('Raw Data'!I$2:'Raw Data'!I$352)-MIN('Raw Data'!I$2:'Raw Data'!I$352)),"")</f>
        <v/>
      </c>
      <c r="G119" s="52">
        <f ca="1">IF(Bracket!$I$1="Composite",AVERAGE(B119:F119),IF(Bracket!$I$1="Kenpom",B119,IF(Bracket!$I$1="PVA",C119,IF(Bracket!$I$1="Sagarin Predictor",D119,IF(Bracket!$I$1="No Preseason",AVERAGE(B119:D119),"")))))</f>
        <v>75.01155862128563</v>
      </c>
      <c r="H119" s="63">
        <f t="shared" ca="1" si="1"/>
        <v>123</v>
      </c>
      <c r="I119" s="52"/>
      <c r="J119" s="52"/>
      <c r="K119" s="52"/>
    </row>
    <row r="120" spans="1:11" x14ac:dyDescent="0.3">
      <c r="A120" s="52" t="str">
        <f>'Raw Data'!A120</f>
        <v>Toledo</v>
      </c>
      <c r="B120" s="52">
        <f ca="1">'Raw Data'!B120*($K$2/_xlfn.STDEV.P('Raw Data'!B$2:'Raw Data'!B$352)) + ($J$2-($K$2/_xlfn.STDEV.P('Raw Data'!B$2:'Raw Data'!B$352))*AVERAGE('Raw Data'!B$2:'Raw Data'!B$352))</f>
        <v>75.120224090180088</v>
      </c>
      <c r="C120" s="52">
        <f ca="1">'Raw Data'!C120*($K$2/_xlfn.STDEV.P('Raw Data'!C$2:'Raw Data'!C$352)) + ($J$2-($K$2/_xlfn.STDEV.P('Raw Data'!C$2:'Raw Data'!C$352))*AVERAGE('Raw Data'!C$2:'Raw Data'!C$352))</f>
        <v>74.228694860086364</v>
      </c>
      <c r="D120" s="52">
        <f ca="1">'Raw Data'!D120*($K$2/_xlfn.STDEV.P('Raw Data'!D$2:'Raw Data'!D$352)) + ($J$2-($K$2/_xlfn.STDEV.P('Raw Data'!D$2:'Raw Data'!D$352))*AVERAGE('Raw Data'!D$2:'Raw Data'!D$352))</f>
        <v>75.14</v>
      </c>
      <c r="E120" s="52" t="str">
        <f ca="1">IFERROR($J$4+('Raw Data'!H120-MIN('Raw Data'!H$2:'Raw Data'!H$352))*($J$3-$J$4)/(MAX('Raw Data'!H$2:'Raw Data'!H$352)-MIN('Raw Data'!H$2:'Raw Data'!H$352)),"")</f>
        <v/>
      </c>
      <c r="F120" s="52" t="str">
        <f ca="1">IFERROR($J$4+('Raw Data'!I120-MIN('Raw Data'!I$2:'Raw Data'!I$352))*($J$3-$J$4)/(MAX('Raw Data'!I$2:'Raw Data'!I$352)-MIN('Raw Data'!I$2:'Raw Data'!I$352)),"")</f>
        <v/>
      </c>
      <c r="G120" s="52">
        <f ca="1">IF(Bracket!$I$1="Composite",AVERAGE(B120:F120),IF(Bracket!$I$1="Kenpom",B120,IF(Bracket!$I$1="PVA",C120,IF(Bracket!$I$1="Sagarin Predictor",D120,IF(Bracket!$I$1="No Preseason",AVERAGE(B120:D120),"")))))</f>
        <v>74.829639650088822</v>
      </c>
      <c r="H120" s="63">
        <f t="shared" ca="1" si="1"/>
        <v>128</v>
      </c>
      <c r="I120" s="52"/>
      <c r="J120" s="52"/>
      <c r="K120" s="52"/>
    </row>
    <row r="121" spans="1:11" x14ac:dyDescent="0.3">
      <c r="A121" s="52" t="str">
        <f>'Raw Data'!A121</f>
        <v>UL Monroe</v>
      </c>
      <c r="B121" s="52">
        <f ca="1">'Raw Data'!B121*($K$2/_xlfn.STDEV.P('Raw Data'!B$2:'Raw Data'!B$352)) + ($J$2-($K$2/_xlfn.STDEV.P('Raw Data'!B$2:'Raw Data'!B$352))*AVERAGE('Raw Data'!B$2:'Raw Data'!B$352))</f>
        <v>76.274374021993353</v>
      </c>
      <c r="C121" s="52">
        <f ca="1">'Raw Data'!C121*($K$2/_xlfn.STDEV.P('Raw Data'!C$2:'Raw Data'!C$352)) + ($J$2-($K$2/_xlfn.STDEV.P('Raw Data'!C$2:'Raw Data'!C$352))*AVERAGE('Raw Data'!C$2:'Raw Data'!C$352))</f>
        <v>73.711725291031399</v>
      </c>
      <c r="D121" s="52">
        <f ca="1">'Raw Data'!D121*($K$2/_xlfn.STDEV.P('Raw Data'!D$2:'Raw Data'!D$352)) + ($J$2-($K$2/_xlfn.STDEV.P('Raw Data'!D$2:'Raw Data'!D$352))*AVERAGE('Raw Data'!D$2:'Raw Data'!D$352))</f>
        <v>72.95</v>
      </c>
      <c r="E121" s="52" t="str">
        <f ca="1">IFERROR($J$4+('Raw Data'!H121-MIN('Raw Data'!H$2:'Raw Data'!H$352))*($J$3-$J$4)/(MAX('Raw Data'!H$2:'Raw Data'!H$352)-MIN('Raw Data'!H$2:'Raw Data'!H$352)),"")</f>
        <v/>
      </c>
      <c r="F121" s="52" t="str">
        <f ca="1">IFERROR($J$4+('Raw Data'!I121-MIN('Raw Data'!I$2:'Raw Data'!I$352))*($J$3-$J$4)/(MAX('Raw Data'!I$2:'Raw Data'!I$352)-MIN('Raw Data'!I$2:'Raw Data'!I$352)),"")</f>
        <v/>
      </c>
      <c r="G121" s="52">
        <f ca="1">IF(Bracket!$I$1="Composite",AVERAGE(B121:F121),IF(Bracket!$I$1="Kenpom",B121,IF(Bracket!$I$1="PVA",C121,IF(Bracket!$I$1="Sagarin Predictor",D121,IF(Bracket!$I$1="No Preseason",AVERAGE(B121:D121),"")))))</f>
        <v>74.31203310434158</v>
      </c>
      <c r="H121" s="63">
        <f t="shared" ca="1" si="1"/>
        <v>134</v>
      </c>
      <c r="I121" s="52"/>
      <c r="J121" s="52"/>
      <c r="K121" s="52"/>
    </row>
    <row r="122" spans="1:11" x14ac:dyDescent="0.3">
      <c r="A122" s="52" t="str">
        <f>'Raw Data'!A122</f>
        <v>New Mexico</v>
      </c>
      <c r="B122" s="52">
        <f ca="1">'Raw Data'!B122*($K$2/_xlfn.STDEV.P('Raw Data'!B$2:'Raw Data'!B$352)) + ($J$2-($K$2/_xlfn.STDEV.P('Raw Data'!B$2:'Raw Data'!B$352))*AVERAGE('Raw Data'!B$2:'Raw Data'!B$352))</f>
        <v>74.999528672474128</v>
      </c>
      <c r="C122" s="52">
        <f ca="1">'Raw Data'!C122*($K$2/_xlfn.STDEV.P('Raw Data'!C$2:'Raw Data'!C$352)) + ($J$2-($K$2/_xlfn.STDEV.P('Raw Data'!C$2:'Raw Data'!C$352))*AVERAGE('Raw Data'!C$2:'Raw Data'!C$352))</f>
        <v>75.779603567251243</v>
      </c>
      <c r="D122" s="52">
        <f ca="1">'Raw Data'!D122*($K$2/_xlfn.STDEV.P('Raw Data'!D$2:'Raw Data'!D$352)) + ($J$2-($K$2/_xlfn.STDEV.P('Raw Data'!D$2:'Raw Data'!D$352))*AVERAGE('Raw Data'!D$2:'Raw Data'!D$352))</f>
        <v>76.41</v>
      </c>
      <c r="E122" s="52" t="str">
        <f ca="1">IFERROR($J$4+('Raw Data'!H122-MIN('Raw Data'!H$2:'Raw Data'!H$352))*($J$3-$J$4)/(MAX('Raw Data'!H$2:'Raw Data'!H$352)-MIN('Raw Data'!H$2:'Raw Data'!H$352)),"")</f>
        <v/>
      </c>
      <c r="F122" s="52" t="str">
        <f ca="1">IFERROR($J$4+('Raw Data'!I122-MIN('Raw Data'!I$2:'Raw Data'!I$352))*($J$3-$J$4)/(MAX('Raw Data'!I$2:'Raw Data'!I$352)-MIN('Raw Data'!I$2:'Raw Data'!I$352)),"")</f>
        <v/>
      </c>
      <c r="G122" s="52">
        <f ca="1">IF(Bracket!$I$1="Composite",AVERAGE(B122:F122),IF(Bracket!$I$1="Kenpom",B122,IF(Bracket!$I$1="PVA",C122,IF(Bracket!$I$1="Sagarin Predictor",D122,IF(Bracket!$I$1="No Preseason",AVERAGE(B122:D122),"")))))</f>
        <v>75.729710746575122</v>
      </c>
      <c r="H122" s="63">
        <f t="shared" ca="1" si="1"/>
        <v>117</v>
      </c>
      <c r="I122" s="52"/>
      <c r="J122" s="52"/>
      <c r="K122" s="52"/>
    </row>
    <row r="123" spans="1:11" x14ac:dyDescent="0.3">
      <c r="A123" s="52" t="str">
        <f>'Raw Data'!A123</f>
        <v>Belmont</v>
      </c>
      <c r="B123" s="52">
        <f ca="1">'Raw Data'!B123*($K$2/_xlfn.STDEV.P('Raw Data'!B$2:'Raw Data'!B$352)) + ($J$2-($K$2/_xlfn.STDEV.P('Raw Data'!B$2:'Raw Data'!B$352))*AVERAGE('Raw Data'!B$2:'Raw Data'!B$352))</f>
        <v>74.441312365584054</v>
      </c>
      <c r="C123" s="52">
        <f ca="1">'Raw Data'!C123*($K$2/_xlfn.STDEV.P('Raw Data'!C$2:'Raw Data'!C$352)) + ($J$2-($K$2/_xlfn.STDEV.P('Raw Data'!C$2:'Raw Data'!C$352))*AVERAGE('Raw Data'!C$2:'Raw Data'!C$352))</f>
        <v>75.004149213668796</v>
      </c>
      <c r="D123" s="52">
        <f ca="1">'Raw Data'!D123*($K$2/_xlfn.STDEV.P('Raw Data'!D$2:'Raw Data'!D$352)) + ($J$2-($K$2/_xlfn.STDEV.P('Raw Data'!D$2:'Raw Data'!D$352))*AVERAGE('Raw Data'!D$2:'Raw Data'!D$352))</f>
        <v>74.31</v>
      </c>
      <c r="E123" s="52" t="str">
        <f ca="1">IFERROR($J$4+('Raw Data'!H123-MIN('Raw Data'!H$2:'Raw Data'!H$352))*($J$3-$J$4)/(MAX('Raw Data'!H$2:'Raw Data'!H$352)-MIN('Raw Data'!H$2:'Raw Data'!H$352)),"")</f>
        <v/>
      </c>
      <c r="F123" s="52">
        <f ca="1">IFERROR($J$4+('Raw Data'!I123-MIN('Raw Data'!I$2:'Raw Data'!I$352))*($J$3-$J$4)/(MAX('Raw Data'!I$2:'Raw Data'!I$352)-MIN('Raw Data'!I$2:'Raw Data'!I$352)),"")</f>
        <v>82.32410427807487</v>
      </c>
      <c r="G123" s="52">
        <f ca="1">IF(Bracket!$I$1="Composite",AVERAGE(B123:F123),IF(Bracket!$I$1="Kenpom",B123,IF(Bracket!$I$1="PVA",C123,IF(Bracket!$I$1="Sagarin Predictor",D123,IF(Bracket!$I$1="No Preseason",AVERAGE(B123:D123),"")))))</f>
        <v>76.519891464331934</v>
      </c>
      <c r="H123" s="63">
        <f t="shared" ca="1" si="1"/>
        <v>111</v>
      </c>
      <c r="I123" s="52"/>
      <c r="J123" s="52"/>
      <c r="K123" s="52"/>
    </row>
    <row r="124" spans="1:11" x14ac:dyDescent="0.3">
      <c r="A124" s="52" t="str">
        <f>'Raw Data'!A124</f>
        <v>Grand Canyon</v>
      </c>
      <c r="B124" s="52">
        <f ca="1">'Raw Data'!B124*($K$2/_xlfn.STDEV.P('Raw Data'!B$2:'Raw Data'!B$352)) + ($J$2-($K$2/_xlfn.STDEV.P('Raw Data'!B$2:'Raw Data'!B$352))*AVERAGE('Raw Data'!B$2:'Raw Data'!B$352))</f>
        <v>75.38047358460858</v>
      </c>
      <c r="C124" s="52">
        <f ca="1">'Raw Data'!C124*($K$2/_xlfn.STDEV.P('Raw Data'!C$2:'Raw Data'!C$352)) + ($J$2-($K$2/_xlfn.STDEV.P('Raw Data'!C$2:'Raw Data'!C$352))*AVERAGE('Raw Data'!C$2:'Raw Data'!C$352))</f>
        <v>75.133391605932545</v>
      </c>
      <c r="D124" s="52">
        <f ca="1">'Raw Data'!D124*($K$2/_xlfn.STDEV.P('Raw Data'!D$2:'Raw Data'!D$352)) + ($J$2-($K$2/_xlfn.STDEV.P('Raw Data'!D$2:'Raw Data'!D$352))*AVERAGE('Raw Data'!D$2:'Raw Data'!D$352))</f>
        <v>73.540000000000006</v>
      </c>
      <c r="E124" s="52" t="str">
        <f ca="1">IFERROR($J$4+('Raw Data'!H124-MIN('Raw Data'!H$2:'Raw Data'!H$352))*($J$3-$J$4)/(MAX('Raw Data'!H$2:'Raw Data'!H$352)-MIN('Raw Data'!H$2:'Raw Data'!H$352)),"")</f>
        <v/>
      </c>
      <c r="F124" s="52" t="str">
        <f ca="1">IFERROR($J$4+('Raw Data'!I124-MIN('Raw Data'!I$2:'Raw Data'!I$352))*($J$3-$J$4)/(MAX('Raw Data'!I$2:'Raw Data'!I$352)-MIN('Raw Data'!I$2:'Raw Data'!I$352)),"")</f>
        <v/>
      </c>
      <c r="G124" s="52">
        <f ca="1">IF(Bracket!$I$1="Composite",AVERAGE(B124:F124),IF(Bracket!$I$1="Kenpom",B124,IF(Bracket!$I$1="PVA",C124,IF(Bracket!$I$1="Sagarin Predictor",D124,IF(Bracket!$I$1="No Preseason",AVERAGE(B124:D124),"")))))</f>
        <v>74.684621730180382</v>
      </c>
      <c r="H124" s="63">
        <f t="shared" ca="1" si="1"/>
        <v>130</v>
      </c>
      <c r="I124" s="52"/>
      <c r="J124" s="52"/>
      <c r="K124" s="52"/>
    </row>
    <row r="125" spans="1:11" x14ac:dyDescent="0.3">
      <c r="A125" s="52" t="str">
        <f>'Raw Data'!A125</f>
        <v>Fresno State</v>
      </c>
      <c r="B125" s="52">
        <f ca="1">'Raw Data'!B125*($K$2/_xlfn.STDEV.P('Raw Data'!B$2:'Raw Data'!B$352)) + ($J$2-($K$2/_xlfn.STDEV.P('Raw Data'!B$2:'Raw Data'!B$352))*AVERAGE('Raw Data'!B$2:'Raw Data'!B$352))</f>
        <v>77.98296852889338</v>
      </c>
      <c r="C125" s="52">
        <f ca="1">'Raw Data'!C125*($K$2/_xlfn.STDEV.P('Raw Data'!C$2:'Raw Data'!C$352)) + ($J$2-($K$2/_xlfn.STDEV.P('Raw Data'!C$2:'Raw Data'!C$352))*AVERAGE('Raw Data'!C$2:'Raw Data'!C$352))</f>
        <v>76.684300313097424</v>
      </c>
      <c r="D125" s="52">
        <f ca="1">'Raw Data'!D125*($K$2/_xlfn.STDEV.P('Raw Data'!D$2:'Raw Data'!D$352)) + ($J$2-($K$2/_xlfn.STDEV.P('Raw Data'!D$2:'Raw Data'!D$352))*AVERAGE('Raw Data'!D$2:'Raw Data'!D$352))</f>
        <v>76.56</v>
      </c>
      <c r="E125" s="52" t="str">
        <f ca="1">IFERROR($J$4+('Raw Data'!H125-MIN('Raw Data'!H$2:'Raw Data'!H$352))*($J$3-$J$4)/(MAX('Raw Data'!H$2:'Raw Data'!H$352)-MIN('Raw Data'!H$2:'Raw Data'!H$352)),"")</f>
        <v/>
      </c>
      <c r="F125" s="52" t="str">
        <f ca="1">IFERROR($J$4+('Raw Data'!I125-MIN('Raw Data'!I$2:'Raw Data'!I$352))*($J$3-$J$4)/(MAX('Raw Data'!I$2:'Raw Data'!I$352)-MIN('Raw Data'!I$2:'Raw Data'!I$352)),"")</f>
        <v/>
      </c>
      <c r="G125" s="52">
        <f ca="1">IF(Bracket!$I$1="Composite",AVERAGE(B125:F125),IF(Bracket!$I$1="Kenpom",B125,IF(Bracket!$I$1="PVA",C125,IF(Bracket!$I$1="Sagarin Predictor",D125,IF(Bracket!$I$1="No Preseason",AVERAGE(B125:D125),"")))))</f>
        <v>77.075756280663597</v>
      </c>
      <c r="H125" s="63">
        <f t="shared" ca="1" si="1"/>
        <v>108</v>
      </c>
      <c r="I125" s="52"/>
      <c r="J125" s="52"/>
      <c r="K125" s="52"/>
    </row>
    <row r="126" spans="1:11" x14ac:dyDescent="0.3">
      <c r="A126" s="52" t="str">
        <f>'Raw Data'!A126</f>
        <v>Ohio</v>
      </c>
      <c r="B126" s="52">
        <f ca="1">'Raw Data'!B126*($K$2/_xlfn.STDEV.P('Raw Data'!B$2:'Raw Data'!B$352)) + ($J$2-($K$2/_xlfn.STDEV.P('Raw Data'!B$2:'Raw Data'!B$352))*AVERAGE('Raw Data'!B$2:'Raw Data'!B$352))</f>
        <v>74.965583086244322</v>
      </c>
      <c r="C126" s="52">
        <f ca="1">'Raw Data'!C126*($K$2/_xlfn.STDEV.P('Raw Data'!C$2:'Raw Data'!C$352)) + ($J$2-($K$2/_xlfn.STDEV.P('Raw Data'!C$2:'Raw Data'!C$352))*AVERAGE('Raw Data'!C$2:'Raw Data'!C$352))</f>
        <v>74.745664429141328</v>
      </c>
      <c r="D126" s="52">
        <f ca="1">'Raw Data'!D126*($K$2/_xlfn.STDEV.P('Raw Data'!D$2:'Raw Data'!D$352)) + ($J$2-($K$2/_xlfn.STDEV.P('Raw Data'!D$2:'Raw Data'!D$352))*AVERAGE('Raw Data'!D$2:'Raw Data'!D$352))</f>
        <v>73.97</v>
      </c>
      <c r="E126" s="52" t="str">
        <f ca="1">IFERROR($J$4+('Raw Data'!H126-MIN('Raw Data'!H$2:'Raw Data'!H$352))*($J$3-$J$4)/(MAX('Raw Data'!H$2:'Raw Data'!H$352)-MIN('Raw Data'!H$2:'Raw Data'!H$352)),"")</f>
        <v/>
      </c>
      <c r="F126" s="52" t="str">
        <f ca="1">IFERROR($J$4+('Raw Data'!I126-MIN('Raw Data'!I$2:'Raw Data'!I$352))*($J$3-$J$4)/(MAX('Raw Data'!I$2:'Raw Data'!I$352)-MIN('Raw Data'!I$2:'Raw Data'!I$352)),"")</f>
        <v/>
      </c>
      <c r="G126" s="52">
        <f ca="1">IF(Bracket!$I$1="Composite",AVERAGE(B126:F126),IF(Bracket!$I$1="Kenpom",B126,IF(Bracket!$I$1="PVA",C126,IF(Bracket!$I$1="Sagarin Predictor",D126,IF(Bracket!$I$1="No Preseason",AVERAGE(B126:D126),"")))))</f>
        <v>74.560415838461878</v>
      </c>
      <c r="H126" s="63">
        <f t="shared" ca="1" si="1"/>
        <v>131</v>
      </c>
      <c r="I126" s="52"/>
      <c r="J126" s="52"/>
      <c r="K126" s="52"/>
    </row>
    <row r="127" spans="1:11" x14ac:dyDescent="0.3">
      <c r="A127" s="52" t="str">
        <f>'Raw Data'!A127</f>
        <v>Marshall</v>
      </c>
      <c r="B127" s="52">
        <f ca="1">'Raw Data'!B127*($K$2/_xlfn.STDEV.P('Raw Data'!B$2:'Raw Data'!B$352)) + ($J$2-($K$2/_xlfn.STDEV.P('Raw Data'!B$2:'Raw Data'!B$352))*AVERAGE('Raw Data'!B$2:'Raw Data'!B$352))</f>
        <v>73.76240064098802</v>
      </c>
      <c r="C127" s="52">
        <f ca="1">'Raw Data'!C127*($K$2/_xlfn.STDEV.P('Raw Data'!C$2:'Raw Data'!C$352)) + ($J$2-($K$2/_xlfn.STDEV.P('Raw Data'!C$2:'Raw Data'!C$352))*AVERAGE('Raw Data'!C$2:'Raw Data'!C$352))</f>
        <v>72.807028545185233</v>
      </c>
      <c r="D127" s="52">
        <f ca="1">'Raw Data'!D127*($K$2/_xlfn.STDEV.P('Raw Data'!D$2:'Raw Data'!D$352)) + ($J$2-($K$2/_xlfn.STDEV.P('Raw Data'!D$2:'Raw Data'!D$352))*AVERAGE('Raw Data'!D$2:'Raw Data'!D$352))</f>
        <v>72.94</v>
      </c>
      <c r="E127" s="52" t="str">
        <f ca="1">IFERROR($J$4+('Raw Data'!H127-MIN('Raw Data'!H$2:'Raw Data'!H$352))*($J$3-$J$4)/(MAX('Raw Data'!H$2:'Raw Data'!H$352)-MIN('Raw Data'!H$2:'Raw Data'!H$352)),"")</f>
        <v/>
      </c>
      <c r="F127" s="52" t="str">
        <f ca="1">IFERROR($J$4+('Raw Data'!I127-MIN('Raw Data'!I$2:'Raw Data'!I$352))*($J$3-$J$4)/(MAX('Raw Data'!I$2:'Raw Data'!I$352)-MIN('Raw Data'!I$2:'Raw Data'!I$352)),"")</f>
        <v/>
      </c>
      <c r="G127" s="52">
        <f ca="1">IF(Bracket!$I$1="Composite",AVERAGE(B127:F127),IF(Bracket!$I$1="Kenpom",B127,IF(Bracket!$I$1="PVA",C127,IF(Bracket!$I$1="Sagarin Predictor",D127,IF(Bracket!$I$1="No Preseason",AVERAGE(B127:D127),"")))))</f>
        <v>73.169809728724417</v>
      </c>
      <c r="H127" s="63">
        <f t="shared" ca="1" si="1"/>
        <v>146</v>
      </c>
      <c r="I127" s="52"/>
      <c r="J127" s="52"/>
      <c r="K127" s="52"/>
    </row>
    <row r="128" spans="1:11" x14ac:dyDescent="0.3">
      <c r="A128" s="52" t="str">
        <f>'Raw Data'!A128</f>
        <v>Morehead State</v>
      </c>
      <c r="B128" s="52">
        <f ca="1">'Raw Data'!B128*($K$2/_xlfn.STDEV.P('Raw Data'!B$2:'Raw Data'!B$352)) + ($J$2-($K$2/_xlfn.STDEV.P('Raw Data'!B$2:'Raw Data'!B$352))*AVERAGE('Raw Data'!B$2:'Raw Data'!B$352))</f>
        <v>74.946724427227778</v>
      </c>
      <c r="C128" s="52">
        <f ca="1">'Raw Data'!C128*($K$2/_xlfn.STDEV.P('Raw Data'!C$2:'Raw Data'!C$352)) + ($J$2-($K$2/_xlfn.STDEV.P('Raw Data'!C$2:'Raw Data'!C$352))*AVERAGE('Raw Data'!C$2:'Raw Data'!C$352))</f>
        <v>73.970210075558882</v>
      </c>
      <c r="D128" s="52">
        <f ca="1">'Raw Data'!D128*($K$2/_xlfn.STDEV.P('Raw Data'!D$2:'Raw Data'!D$352)) + ($J$2-($K$2/_xlfn.STDEV.P('Raw Data'!D$2:'Raw Data'!D$352))*AVERAGE('Raw Data'!D$2:'Raw Data'!D$352))</f>
        <v>73.569999999999993</v>
      </c>
      <c r="E128" s="52" t="str">
        <f ca="1">IFERROR($J$4+('Raw Data'!H128-MIN('Raw Data'!H$2:'Raw Data'!H$352))*($J$3-$J$4)/(MAX('Raw Data'!H$2:'Raw Data'!H$352)-MIN('Raw Data'!H$2:'Raw Data'!H$352)),"")</f>
        <v/>
      </c>
      <c r="F128" s="52" t="str">
        <f ca="1">IFERROR($J$4+('Raw Data'!I128-MIN('Raw Data'!I$2:'Raw Data'!I$352))*($J$3-$J$4)/(MAX('Raw Data'!I$2:'Raw Data'!I$352)-MIN('Raw Data'!I$2:'Raw Data'!I$352)),"")</f>
        <v/>
      </c>
      <c r="G128" s="52">
        <f ca="1">IF(Bracket!$I$1="Composite",AVERAGE(B128:F128),IF(Bracket!$I$1="Kenpom",B128,IF(Bracket!$I$1="PVA",C128,IF(Bracket!$I$1="Sagarin Predictor",D128,IF(Bracket!$I$1="No Preseason",AVERAGE(B128:D128),"")))))</f>
        <v>74.16231150092888</v>
      </c>
      <c r="H128" s="63">
        <f t="shared" ca="1" si="1"/>
        <v>136</v>
      </c>
      <c r="I128" s="52"/>
      <c r="J128" s="52"/>
      <c r="K128" s="52"/>
    </row>
    <row r="129" spans="1:11" x14ac:dyDescent="0.3">
      <c r="A129" s="52" t="str">
        <f>'Raw Data'!A129</f>
        <v>Wake Forest</v>
      </c>
      <c r="B129" s="52">
        <f ca="1">'Raw Data'!B129*($K$2/_xlfn.STDEV.P('Raw Data'!B$2:'Raw Data'!B$352)) + ($J$2-($K$2/_xlfn.STDEV.P('Raw Data'!B$2:'Raw Data'!B$352))*AVERAGE('Raw Data'!B$2:'Raw Data'!B$352))</f>
        <v>74.859974595751623</v>
      </c>
      <c r="C129" s="52">
        <f ca="1">'Raw Data'!C129*($K$2/_xlfn.STDEV.P('Raw Data'!C$2:'Raw Data'!C$352)) + ($J$2-($K$2/_xlfn.STDEV.P('Raw Data'!C$2:'Raw Data'!C$352))*AVERAGE('Raw Data'!C$2:'Raw Data'!C$352))</f>
        <v>75.004149213668796</v>
      </c>
      <c r="D129" s="52">
        <f ca="1">'Raw Data'!D129*($K$2/_xlfn.STDEV.P('Raw Data'!D$2:'Raw Data'!D$352)) + ($J$2-($K$2/_xlfn.STDEV.P('Raw Data'!D$2:'Raw Data'!D$352))*AVERAGE('Raw Data'!D$2:'Raw Data'!D$352))</f>
        <v>75.92</v>
      </c>
      <c r="E129" s="52" t="str">
        <f ca="1">IFERROR($J$4+('Raw Data'!H129-MIN('Raw Data'!H$2:'Raw Data'!H$352))*($J$3-$J$4)/(MAX('Raw Data'!H$2:'Raw Data'!H$352)-MIN('Raw Data'!H$2:'Raw Data'!H$352)),"")</f>
        <v/>
      </c>
      <c r="F129" s="52" t="str">
        <f ca="1">IFERROR($J$4+('Raw Data'!I129-MIN('Raw Data'!I$2:'Raw Data'!I$352))*($J$3-$J$4)/(MAX('Raw Data'!I$2:'Raw Data'!I$352)-MIN('Raw Data'!I$2:'Raw Data'!I$352)),"")</f>
        <v/>
      </c>
      <c r="G129" s="52">
        <f ca="1">IF(Bracket!$I$1="Composite",AVERAGE(B129:F129),IF(Bracket!$I$1="Kenpom",B129,IF(Bracket!$I$1="PVA",C129,IF(Bracket!$I$1="Sagarin Predictor",D129,IF(Bracket!$I$1="No Preseason",AVERAGE(B129:D129),"")))))</f>
        <v>75.26137460314014</v>
      </c>
      <c r="H129" s="63">
        <f t="shared" ca="1" si="1"/>
        <v>120</v>
      </c>
      <c r="I129" s="52"/>
      <c r="J129" s="52"/>
      <c r="K129" s="52"/>
    </row>
    <row r="130" spans="1:11" x14ac:dyDescent="0.3">
      <c r="A130" s="52" t="str">
        <f>'Raw Data'!A130</f>
        <v>Penn State</v>
      </c>
      <c r="B130" s="52">
        <f ca="1">'Raw Data'!B130*($K$2/_xlfn.STDEV.P('Raw Data'!B$2:'Raw Data'!B$352)) + ($J$2-($K$2/_xlfn.STDEV.P('Raw Data'!B$2:'Raw Data'!B$352))*AVERAGE('Raw Data'!B$2:'Raw Data'!B$352))</f>
        <v>73.645476955085371</v>
      </c>
      <c r="C130" s="52">
        <f ca="1">'Raw Data'!C130*($K$2/_xlfn.STDEV.P('Raw Data'!C$2:'Raw Data'!C$352)) + ($J$2-($K$2/_xlfn.STDEV.P('Raw Data'!C$2:'Raw Data'!C$352))*AVERAGE('Raw Data'!C$2:'Raw Data'!C$352))</f>
        <v>74.357937252350098</v>
      </c>
      <c r="D130" s="52">
        <f ca="1">'Raw Data'!D130*($K$2/_xlfn.STDEV.P('Raw Data'!D$2:'Raw Data'!D$352)) + ($J$2-($K$2/_xlfn.STDEV.P('Raw Data'!D$2:'Raw Data'!D$352))*AVERAGE('Raw Data'!D$2:'Raw Data'!D$352))</f>
        <v>74.28</v>
      </c>
      <c r="E130" s="52" t="str">
        <f ca="1">IFERROR($J$4+('Raw Data'!H130-MIN('Raw Data'!H$2:'Raw Data'!H$352))*($J$3-$J$4)/(MAX('Raw Data'!H$2:'Raw Data'!H$352)-MIN('Raw Data'!H$2:'Raw Data'!H$352)),"")</f>
        <v/>
      </c>
      <c r="F130" s="52" t="str">
        <f ca="1">IFERROR($J$4+('Raw Data'!I130-MIN('Raw Data'!I$2:'Raw Data'!I$352))*($J$3-$J$4)/(MAX('Raw Data'!I$2:'Raw Data'!I$352)-MIN('Raw Data'!I$2:'Raw Data'!I$352)),"")</f>
        <v/>
      </c>
      <c r="G130" s="52">
        <f ca="1">IF(Bracket!$I$1="Composite",AVERAGE(B130:F130),IF(Bracket!$I$1="Kenpom",B130,IF(Bracket!$I$1="PVA",C130,IF(Bracket!$I$1="Sagarin Predictor",D130,IF(Bracket!$I$1="No Preseason",AVERAGE(B130:D130),"")))))</f>
        <v>74.09447140247849</v>
      </c>
      <c r="H130" s="63">
        <f t="shared" ca="1" si="1"/>
        <v>137</v>
      </c>
      <c r="I130" s="52"/>
      <c r="J130" s="52"/>
      <c r="K130" s="52"/>
    </row>
    <row r="131" spans="1:11" x14ac:dyDescent="0.3">
      <c r="A131" s="52" t="str">
        <f>'Raw Data'!A131</f>
        <v>Ball State</v>
      </c>
      <c r="B131" s="52">
        <f ca="1">'Raw Data'!B131*($K$2/_xlfn.STDEV.P('Raw Data'!B$2:'Raw Data'!B$352)) + ($J$2-($K$2/_xlfn.STDEV.P('Raw Data'!B$2:'Raw Data'!B$352))*AVERAGE('Raw Data'!B$2:'Raw Data'!B$352))</f>
        <v>73.189097406884713</v>
      </c>
      <c r="C131" s="52">
        <f ca="1">'Raw Data'!C131*($K$2/_xlfn.STDEV.P('Raw Data'!C$2:'Raw Data'!C$352)) + ($J$2-($K$2/_xlfn.STDEV.P('Raw Data'!C$2:'Raw Data'!C$352))*AVERAGE('Raw Data'!C$2:'Raw Data'!C$352))</f>
        <v>72.290058976130268</v>
      </c>
      <c r="D131" s="52">
        <f ca="1">'Raw Data'!D131*($K$2/_xlfn.STDEV.P('Raw Data'!D$2:'Raw Data'!D$352)) + ($J$2-($K$2/_xlfn.STDEV.P('Raw Data'!D$2:'Raw Data'!D$352))*AVERAGE('Raw Data'!D$2:'Raw Data'!D$352))</f>
        <v>72.06</v>
      </c>
      <c r="E131" s="52" t="str">
        <f ca="1">IFERROR($J$4+('Raw Data'!H131-MIN('Raw Data'!H$2:'Raw Data'!H$352))*($J$3-$J$4)/(MAX('Raw Data'!H$2:'Raw Data'!H$352)-MIN('Raw Data'!H$2:'Raw Data'!H$352)),"")</f>
        <v/>
      </c>
      <c r="F131" s="52" t="str">
        <f ca="1">IFERROR($J$4+('Raw Data'!I131-MIN('Raw Data'!I$2:'Raw Data'!I$352))*($J$3-$J$4)/(MAX('Raw Data'!I$2:'Raw Data'!I$352)-MIN('Raw Data'!I$2:'Raw Data'!I$352)),"")</f>
        <v/>
      </c>
      <c r="G131" s="52">
        <f ca="1">IF(Bracket!$I$1="Composite",AVERAGE(B131:F131),IF(Bracket!$I$1="Kenpom",B131,IF(Bracket!$I$1="PVA",C131,IF(Bracket!$I$1="Sagarin Predictor",D131,IF(Bracket!$I$1="No Preseason",AVERAGE(B131:D131),"")))))</f>
        <v>72.513052127671656</v>
      </c>
      <c r="H131" s="63">
        <f t="shared" ref="H131:H194" ca="1" si="2">RANK(G131,$G$2:$G$352)</f>
        <v>155</v>
      </c>
      <c r="I131" s="52"/>
      <c r="J131" s="52"/>
      <c r="K131" s="52"/>
    </row>
    <row r="132" spans="1:11" x14ac:dyDescent="0.3">
      <c r="A132" s="52" t="str">
        <f>'Raw Data'!A132</f>
        <v>Nevada</v>
      </c>
      <c r="B132" s="52">
        <f ca="1">'Raw Data'!B132*($K$2/_xlfn.STDEV.P('Raw Data'!B$2:'Raw Data'!B$352)) + ($J$2-($K$2/_xlfn.STDEV.P('Raw Data'!B$2:'Raw Data'!B$352))*AVERAGE('Raw Data'!B$2:'Raw Data'!B$352))</f>
        <v>73.724683322954917</v>
      </c>
      <c r="C132" s="52">
        <f ca="1">'Raw Data'!C132*($K$2/_xlfn.STDEV.P('Raw Data'!C$2:'Raw Data'!C$352)) + ($J$2-($K$2/_xlfn.STDEV.P('Raw Data'!C$2:'Raw Data'!C$352))*AVERAGE('Raw Data'!C$2:'Raw Data'!C$352))</f>
        <v>73.840967683295148</v>
      </c>
      <c r="D132" s="52">
        <f ca="1">'Raw Data'!D132*($K$2/_xlfn.STDEV.P('Raw Data'!D$2:'Raw Data'!D$352)) + ($J$2-($K$2/_xlfn.STDEV.P('Raw Data'!D$2:'Raw Data'!D$352))*AVERAGE('Raw Data'!D$2:'Raw Data'!D$352))</f>
        <v>73.8</v>
      </c>
      <c r="E132" s="52" t="str">
        <f ca="1">IFERROR($J$4+('Raw Data'!H132-MIN('Raw Data'!H$2:'Raw Data'!H$352))*($J$3-$J$4)/(MAX('Raw Data'!H$2:'Raw Data'!H$352)-MIN('Raw Data'!H$2:'Raw Data'!H$352)),"")</f>
        <v/>
      </c>
      <c r="F132" s="52" t="str">
        <f ca="1">IFERROR($J$4+('Raw Data'!I132-MIN('Raw Data'!I$2:'Raw Data'!I$352))*($J$3-$J$4)/(MAX('Raw Data'!I$2:'Raw Data'!I$352)-MIN('Raw Data'!I$2:'Raw Data'!I$352)),"")</f>
        <v/>
      </c>
      <c r="G132" s="52">
        <f ca="1">IF(Bracket!$I$1="Composite",AVERAGE(B132:F132),IF(Bracket!$I$1="Kenpom",B132,IF(Bracket!$I$1="PVA",C132,IF(Bracket!$I$1="Sagarin Predictor",D132,IF(Bracket!$I$1="No Preseason",AVERAGE(B132:D132),"")))))</f>
        <v>73.788550335416687</v>
      </c>
      <c r="H132" s="63">
        <f t="shared" ca="1" si="2"/>
        <v>143</v>
      </c>
      <c r="I132" s="52"/>
      <c r="J132" s="52"/>
      <c r="K132" s="52"/>
    </row>
    <row r="133" spans="1:11" x14ac:dyDescent="0.3">
      <c r="A133" s="52" t="str">
        <f>'Raw Data'!A133</f>
        <v>Pepperdine</v>
      </c>
      <c r="B133" s="52">
        <f ca="1">'Raw Data'!B133*($K$2/_xlfn.STDEV.P('Raw Data'!B$2:'Raw Data'!B$352)) + ($J$2-($K$2/_xlfn.STDEV.P('Raw Data'!B$2:'Raw Data'!B$352))*AVERAGE('Raw Data'!B$2:'Raw Data'!B$352))</f>
        <v>74.207464993778757</v>
      </c>
      <c r="C133" s="52">
        <f ca="1">'Raw Data'!C133*($K$2/_xlfn.STDEV.P('Raw Data'!C$2:'Raw Data'!C$352)) + ($J$2-($K$2/_xlfn.STDEV.P('Raw Data'!C$2:'Raw Data'!C$352))*AVERAGE('Raw Data'!C$2:'Raw Data'!C$352))</f>
        <v>74.228694860086364</v>
      </c>
      <c r="D133" s="52">
        <f ca="1">'Raw Data'!D133*($K$2/_xlfn.STDEV.P('Raw Data'!D$2:'Raw Data'!D$352)) + ($J$2-($K$2/_xlfn.STDEV.P('Raw Data'!D$2:'Raw Data'!D$352))*AVERAGE('Raw Data'!D$2:'Raw Data'!D$352))</f>
        <v>74.77</v>
      </c>
      <c r="E133" s="52" t="str">
        <f ca="1">IFERROR($J$4+('Raw Data'!H133-MIN('Raw Data'!H$2:'Raw Data'!H$352))*($J$3-$J$4)/(MAX('Raw Data'!H$2:'Raw Data'!H$352)-MIN('Raw Data'!H$2:'Raw Data'!H$352)),"")</f>
        <v/>
      </c>
      <c r="F133" s="52" t="str">
        <f ca="1">IFERROR($J$4+('Raw Data'!I133-MIN('Raw Data'!I$2:'Raw Data'!I$352))*($J$3-$J$4)/(MAX('Raw Data'!I$2:'Raw Data'!I$352)-MIN('Raw Data'!I$2:'Raw Data'!I$352)),"")</f>
        <v/>
      </c>
      <c r="G133" s="52">
        <f ca="1">IF(Bracket!$I$1="Composite",AVERAGE(B133:F133),IF(Bracket!$I$1="Kenpom",B133,IF(Bracket!$I$1="PVA",C133,IF(Bracket!$I$1="Sagarin Predictor",D133,IF(Bracket!$I$1="No Preseason",AVERAGE(B133:D133),"")))))</f>
        <v>74.402053284621715</v>
      </c>
      <c r="H133" s="63">
        <f t="shared" ca="1" si="2"/>
        <v>133</v>
      </c>
      <c r="I133" s="52"/>
      <c r="J133" s="52"/>
      <c r="K133" s="52"/>
    </row>
    <row r="134" spans="1:11" x14ac:dyDescent="0.3">
      <c r="A134" s="52" t="str">
        <f>'Raw Data'!A134</f>
        <v>IPFW</v>
      </c>
      <c r="B134" s="52">
        <f ca="1">'Raw Data'!B134*($K$2/_xlfn.STDEV.P('Raw Data'!B$2:'Raw Data'!B$352)) + ($J$2-($K$2/_xlfn.STDEV.P('Raw Data'!B$2:'Raw Data'!B$352))*AVERAGE('Raw Data'!B$2:'Raw Data'!B$352))</f>
        <v>74.833572473128442</v>
      </c>
      <c r="C134" s="52">
        <f ca="1">'Raw Data'!C134*($K$2/_xlfn.STDEV.P('Raw Data'!C$2:'Raw Data'!C$352)) + ($J$2-($K$2/_xlfn.STDEV.P('Raw Data'!C$2:'Raw Data'!C$352))*AVERAGE('Raw Data'!C$2:'Raw Data'!C$352))</f>
        <v>74.487179644613846</v>
      </c>
      <c r="D134" s="52">
        <f ca="1">'Raw Data'!D134*($K$2/_xlfn.STDEV.P('Raw Data'!D$2:'Raw Data'!D$352)) + ($J$2-($K$2/_xlfn.STDEV.P('Raw Data'!D$2:'Raw Data'!D$352))*AVERAGE('Raw Data'!D$2:'Raw Data'!D$352))</f>
        <v>72.959999999999994</v>
      </c>
      <c r="E134" s="52" t="str">
        <f ca="1">IFERROR($J$4+('Raw Data'!H134-MIN('Raw Data'!H$2:'Raw Data'!H$352))*($J$3-$J$4)/(MAX('Raw Data'!H$2:'Raw Data'!H$352)-MIN('Raw Data'!H$2:'Raw Data'!H$352)),"")</f>
        <v/>
      </c>
      <c r="F134" s="52" t="str">
        <f ca="1">IFERROR($J$4+('Raw Data'!I134-MIN('Raw Data'!I$2:'Raw Data'!I$352))*($J$3-$J$4)/(MAX('Raw Data'!I$2:'Raw Data'!I$352)-MIN('Raw Data'!I$2:'Raw Data'!I$352)),"")</f>
        <v/>
      </c>
      <c r="G134" s="52">
        <f ca="1">IF(Bracket!$I$1="Composite",AVERAGE(B134:F134),IF(Bracket!$I$1="Kenpom",B134,IF(Bracket!$I$1="PVA",C134,IF(Bracket!$I$1="Sagarin Predictor",D134,IF(Bracket!$I$1="No Preseason",AVERAGE(B134:D134),"")))))</f>
        <v>74.093584039247432</v>
      </c>
      <c r="H134" s="63">
        <f t="shared" ca="1" si="2"/>
        <v>138</v>
      </c>
      <c r="I134" s="52"/>
      <c r="J134" s="52"/>
      <c r="K134" s="52"/>
    </row>
    <row r="135" spans="1:11" x14ac:dyDescent="0.3">
      <c r="A135" s="52" t="str">
        <f>'Raw Data'!A135</f>
        <v>Weber State</v>
      </c>
      <c r="B135" s="52">
        <f ca="1">'Raw Data'!B135*($K$2/_xlfn.STDEV.P('Raw Data'!B$2:'Raw Data'!B$352)) + ($J$2-($K$2/_xlfn.STDEV.P('Raw Data'!B$2:'Raw Data'!B$352))*AVERAGE('Raw Data'!B$2:'Raw Data'!B$352))</f>
        <v>74.429997170174119</v>
      </c>
      <c r="C135" s="52">
        <f ca="1">'Raw Data'!C135*($K$2/_xlfn.STDEV.P('Raw Data'!C$2:'Raw Data'!C$352)) + ($J$2-($K$2/_xlfn.STDEV.P('Raw Data'!C$2:'Raw Data'!C$352))*AVERAGE('Raw Data'!C$2:'Raw Data'!C$352))</f>
        <v>74.357937252350098</v>
      </c>
      <c r="D135" s="52">
        <f ca="1">'Raw Data'!D135*($K$2/_xlfn.STDEV.P('Raw Data'!D$2:'Raw Data'!D$352)) + ($J$2-($K$2/_xlfn.STDEV.P('Raw Data'!D$2:'Raw Data'!D$352))*AVERAGE('Raw Data'!D$2:'Raw Data'!D$352))</f>
        <v>73.260000000000005</v>
      </c>
      <c r="E135" s="52" t="str">
        <f ca="1">IFERROR($J$4+('Raw Data'!H135-MIN('Raw Data'!H$2:'Raw Data'!H$352))*($J$3-$J$4)/(MAX('Raw Data'!H$2:'Raw Data'!H$352)-MIN('Raw Data'!H$2:'Raw Data'!H$352)),"")</f>
        <v/>
      </c>
      <c r="F135" s="52" t="str">
        <f ca="1">IFERROR($J$4+('Raw Data'!I135-MIN('Raw Data'!I$2:'Raw Data'!I$352))*($J$3-$J$4)/(MAX('Raw Data'!I$2:'Raw Data'!I$352)-MIN('Raw Data'!I$2:'Raw Data'!I$352)),"")</f>
        <v/>
      </c>
      <c r="G135" s="52">
        <f ca="1">IF(Bracket!$I$1="Composite",AVERAGE(B135:F135),IF(Bracket!$I$1="Kenpom",B135,IF(Bracket!$I$1="PVA",C135,IF(Bracket!$I$1="Sagarin Predictor",D135,IF(Bracket!$I$1="No Preseason",AVERAGE(B135:D135),"")))))</f>
        <v>74.015978140841412</v>
      </c>
      <c r="H135" s="63">
        <f t="shared" ca="1" si="2"/>
        <v>140</v>
      </c>
      <c r="I135" s="52"/>
      <c r="J135" s="52"/>
      <c r="K135" s="52"/>
    </row>
    <row r="136" spans="1:11" x14ac:dyDescent="0.3">
      <c r="A136" s="52" t="str">
        <f>'Raw Data'!A136</f>
        <v>Towson</v>
      </c>
      <c r="B136" s="52">
        <f ca="1">'Raw Data'!B136*($K$2/_xlfn.STDEV.P('Raw Data'!B$2:'Raw Data'!B$352)) + ($J$2-($K$2/_xlfn.STDEV.P('Raw Data'!B$2:'Raw Data'!B$352))*AVERAGE('Raw Data'!B$2:'Raw Data'!B$352))</f>
        <v>73.901954717710538</v>
      </c>
      <c r="C136" s="52">
        <f ca="1">'Raw Data'!C136*($K$2/_xlfn.STDEV.P('Raw Data'!C$2:'Raw Data'!C$352)) + ($J$2-($K$2/_xlfn.STDEV.P('Raw Data'!C$2:'Raw Data'!C$352))*AVERAGE('Raw Data'!C$2:'Raw Data'!C$352))</f>
        <v>72.807028545185233</v>
      </c>
      <c r="D136" s="52">
        <f ca="1">'Raw Data'!D136*($K$2/_xlfn.STDEV.P('Raw Data'!D$2:'Raw Data'!D$352)) + ($J$2-($K$2/_xlfn.STDEV.P('Raw Data'!D$2:'Raw Data'!D$352))*AVERAGE('Raw Data'!D$2:'Raw Data'!D$352))</f>
        <v>72.069999999999993</v>
      </c>
      <c r="E136" s="52" t="str">
        <f ca="1">IFERROR($J$4+('Raw Data'!H136-MIN('Raw Data'!H$2:'Raw Data'!H$352))*($J$3-$J$4)/(MAX('Raw Data'!H$2:'Raw Data'!H$352)-MIN('Raw Data'!H$2:'Raw Data'!H$352)),"")</f>
        <v/>
      </c>
      <c r="F136" s="52" t="str">
        <f ca="1">IFERROR($J$4+('Raw Data'!I136-MIN('Raw Data'!I$2:'Raw Data'!I$352))*($J$3-$J$4)/(MAX('Raw Data'!I$2:'Raw Data'!I$352)-MIN('Raw Data'!I$2:'Raw Data'!I$352)),"")</f>
        <v/>
      </c>
      <c r="G136" s="52">
        <f ca="1">IF(Bracket!$I$1="Composite",AVERAGE(B136:F136),IF(Bracket!$I$1="Kenpom",B136,IF(Bracket!$I$1="PVA",C136,IF(Bracket!$I$1="Sagarin Predictor",D136,IF(Bracket!$I$1="No Preseason",AVERAGE(B136:D136),"")))))</f>
        <v>72.926327754298583</v>
      </c>
      <c r="H136" s="63">
        <f t="shared" ca="1" si="2"/>
        <v>151</v>
      </c>
      <c r="I136" s="52"/>
      <c r="J136" s="52"/>
      <c r="K136" s="52"/>
    </row>
    <row r="137" spans="1:11" x14ac:dyDescent="0.3">
      <c r="A137" s="52" t="str">
        <f>'Raw Data'!A137</f>
        <v>UNC Asheville</v>
      </c>
      <c r="B137" s="52">
        <f ca="1">'Raw Data'!B137*($K$2/_xlfn.STDEV.P('Raw Data'!B$2:'Raw Data'!B$352)) + ($J$2-($K$2/_xlfn.STDEV.P('Raw Data'!B$2:'Raw Data'!B$352))*AVERAGE('Raw Data'!B$2:'Raw Data'!B$352))</f>
        <v>75.878342182645667</v>
      </c>
      <c r="C137" s="52">
        <f ca="1">'Raw Data'!C137*($K$2/_xlfn.STDEV.P('Raw Data'!C$2:'Raw Data'!C$352)) + ($J$2-($K$2/_xlfn.STDEV.P('Raw Data'!C$2:'Raw Data'!C$352))*AVERAGE('Raw Data'!C$2:'Raw Data'!C$352))</f>
        <v>75.908845959514977</v>
      </c>
      <c r="D137" s="52">
        <f ca="1">'Raw Data'!D137*($K$2/_xlfn.STDEV.P('Raw Data'!D$2:'Raw Data'!D$352)) + ($J$2-($K$2/_xlfn.STDEV.P('Raw Data'!D$2:'Raw Data'!D$352))*AVERAGE('Raw Data'!D$2:'Raw Data'!D$352))</f>
        <v>73.14</v>
      </c>
      <c r="E137" s="52" t="str">
        <f ca="1">IFERROR($J$4+('Raw Data'!H137-MIN('Raw Data'!H$2:'Raw Data'!H$352))*($J$3-$J$4)/(MAX('Raw Data'!H$2:'Raw Data'!H$352)-MIN('Raw Data'!H$2:'Raw Data'!H$352)),"")</f>
        <v/>
      </c>
      <c r="F137" s="52" t="str">
        <f ca="1">IFERROR($J$4+('Raw Data'!I137-MIN('Raw Data'!I$2:'Raw Data'!I$352))*($J$3-$J$4)/(MAX('Raw Data'!I$2:'Raw Data'!I$352)-MIN('Raw Data'!I$2:'Raw Data'!I$352)),"")</f>
        <v/>
      </c>
      <c r="G137" s="52">
        <f ca="1">IF(Bracket!$I$1="Composite",AVERAGE(B137:F137),IF(Bracket!$I$1="Kenpom",B137,IF(Bracket!$I$1="PVA",C137,IF(Bracket!$I$1="Sagarin Predictor",D137,IF(Bracket!$I$1="No Preseason",AVERAGE(B137:D137),"")))))</f>
        <v>74.97572938072021</v>
      </c>
      <c r="H137" s="63">
        <f t="shared" ca="1" si="2"/>
        <v>124</v>
      </c>
      <c r="I137" s="52"/>
      <c r="J137" s="52"/>
      <c r="K137" s="52"/>
    </row>
    <row r="138" spans="1:11" x14ac:dyDescent="0.3">
      <c r="A138" s="52" t="str">
        <f>'Raw Data'!A138</f>
        <v>Old Dominion</v>
      </c>
      <c r="B138" s="52">
        <f ca="1">'Raw Data'!B138*($K$2/_xlfn.STDEV.P('Raw Data'!B$2:'Raw Data'!B$352)) + ($J$2-($K$2/_xlfn.STDEV.P('Raw Data'!B$2:'Raw Data'!B$352))*AVERAGE('Raw Data'!B$2:'Raw Data'!B$352))</f>
        <v>77.43229568560993</v>
      </c>
      <c r="C138" s="52">
        <f ca="1">'Raw Data'!C138*($K$2/_xlfn.STDEV.P('Raw Data'!C$2:'Raw Data'!C$352)) + ($J$2-($K$2/_xlfn.STDEV.P('Raw Data'!C$2:'Raw Data'!C$352))*AVERAGE('Raw Data'!C$2:'Raw Data'!C$352))</f>
        <v>75.908845959514977</v>
      </c>
      <c r="D138" s="52">
        <f ca="1">'Raw Data'!D138*($K$2/_xlfn.STDEV.P('Raw Data'!D$2:'Raw Data'!D$352)) + ($J$2-($K$2/_xlfn.STDEV.P('Raw Data'!D$2:'Raw Data'!D$352))*AVERAGE('Raw Data'!D$2:'Raw Data'!D$352))</f>
        <v>76.510000000000005</v>
      </c>
      <c r="E138" s="52">
        <f ca="1">IFERROR($J$4+('Raw Data'!H138-MIN('Raw Data'!H$2:'Raw Data'!H$352))*($J$3-$J$4)/(MAX('Raw Data'!H$2:'Raw Data'!H$352)-MIN('Raw Data'!H$2:'Raw Data'!H$352)),"")</f>
        <v>82.323482428115014</v>
      </c>
      <c r="F138" s="52">
        <f ca="1">IFERROR($J$4+('Raw Data'!I138-MIN('Raw Data'!I$2:'Raw Data'!I$352))*($J$3-$J$4)/(MAX('Raw Data'!I$2:'Raw Data'!I$352)-MIN('Raw Data'!I$2:'Raw Data'!I$352)),"")</f>
        <v>82.31</v>
      </c>
      <c r="G138" s="52">
        <f ca="1">IF(Bracket!$I$1="Composite",AVERAGE(B138:F138),IF(Bracket!$I$1="Kenpom",B138,IF(Bracket!$I$1="PVA",C138,IF(Bracket!$I$1="Sagarin Predictor",D138,IF(Bracket!$I$1="No Preseason",AVERAGE(B138:D138),"")))))</f>
        <v>78.896924814647988</v>
      </c>
      <c r="H138" s="63">
        <f t="shared" ca="1" si="2"/>
        <v>91</v>
      </c>
      <c r="I138" s="52"/>
      <c r="J138" s="52"/>
      <c r="K138" s="52"/>
    </row>
    <row r="139" spans="1:11" x14ac:dyDescent="0.3">
      <c r="A139" s="52" t="str">
        <f>'Raw Data'!A139</f>
        <v>Omaha</v>
      </c>
      <c r="B139" s="52">
        <f ca="1">'Raw Data'!B139*($K$2/_xlfn.STDEV.P('Raw Data'!B$2:'Raw Data'!B$352)) + ($J$2-($K$2/_xlfn.STDEV.P('Raw Data'!B$2:'Raw Data'!B$352))*AVERAGE('Raw Data'!B$2:'Raw Data'!B$352))</f>
        <v>73.343738410820464</v>
      </c>
      <c r="C139" s="52">
        <f ca="1">'Raw Data'!C139*($K$2/_xlfn.STDEV.P('Raw Data'!C$2:'Raw Data'!C$352)) + ($J$2-($K$2/_xlfn.STDEV.P('Raw Data'!C$2:'Raw Data'!C$352))*AVERAGE('Raw Data'!C$2:'Raw Data'!C$352))</f>
        <v>73.065513329712701</v>
      </c>
      <c r="D139" s="52">
        <f ca="1">'Raw Data'!D139*($K$2/_xlfn.STDEV.P('Raw Data'!D$2:'Raw Data'!D$352)) + ($J$2-($K$2/_xlfn.STDEV.P('Raw Data'!D$2:'Raw Data'!D$352))*AVERAGE('Raw Data'!D$2:'Raw Data'!D$352))</f>
        <v>72.55</v>
      </c>
      <c r="E139" s="52" t="str">
        <f ca="1">IFERROR($J$4+('Raw Data'!H139-MIN('Raw Data'!H$2:'Raw Data'!H$352))*($J$3-$J$4)/(MAX('Raw Data'!H$2:'Raw Data'!H$352)-MIN('Raw Data'!H$2:'Raw Data'!H$352)),"")</f>
        <v/>
      </c>
      <c r="F139" s="52" t="str">
        <f ca="1">IFERROR($J$4+('Raw Data'!I139-MIN('Raw Data'!I$2:'Raw Data'!I$352))*($J$3-$J$4)/(MAX('Raw Data'!I$2:'Raw Data'!I$352)-MIN('Raw Data'!I$2:'Raw Data'!I$352)),"")</f>
        <v/>
      </c>
      <c r="G139" s="52">
        <f ca="1">IF(Bracket!$I$1="Composite",AVERAGE(B139:F139),IF(Bracket!$I$1="Kenpom",B139,IF(Bracket!$I$1="PVA",C139,IF(Bracket!$I$1="Sagarin Predictor",D139,IF(Bracket!$I$1="No Preseason",AVERAGE(B139:D139),"")))))</f>
        <v>72.986417246844383</v>
      </c>
      <c r="H139" s="63">
        <f t="shared" ca="1" si="2"/>
        <v>149</v>
      </c>
      <c r="I139" s="52"/>
      <c r="J139" s="52"/>
      <c r="K139" s="52"/>
    </row>
    <row r="140" spans="1:11" x14ac:dyDescent="0.3">
      <c r="A140" s="52" t="str">
        <f>'Raw Data'!A140</f>
        <v>Northeastern</v>
      </c>
      <c r="B140" s="52">
        <f ca="1">'Raw Data'!B140*($K$2/_xlfn.STDEV.P('Raw Data'!B$2:'Raw Data'!B$352)) + ($J$2-($K$2/_xlfn.STDEV.P('Raw Data'!B$2:'Raw Data'!B$352))*AVERAGE('Raw Data'!B$2:'Raw Data'!B$352))</f>
        <v>75.056104649523803</v>
      </c>
      <c r="C140" s="52">
        <f ca="1">'Raw Data'!C140*($K$2/_xlfn.STDEV.P('Raw Data'!C$2:'Raw Data'!C$352)) + ($J$2-($K$2/_xlfn.STDEV.P('Raw Data'!C$2:'Raw Data'!C$352))*AVERAGE('Raw Data'!C$2:'Raw Data'!C$352))</f>
        <v>73.970210075558882</v>
      </c>
      <c r="D140" s="52">
        <f ca="1">'Raw Data'!D140*($K$2/_xlfn.STDEV.P('Raw Data'!D$2:'Raw Data'!D$352)) + ($J$2-($K$2/_xlfn.STDEV.P('Raw Data'!D$2:'Raw Data'!D$352))*AVERAGE('Raw Data'!D$2:'Raw Data'!D$352))</f>
        <v>73.66</v>
      </c>
      <c r="E140" s="52" t="str">
        <f ca="1">IFERROR($J$4+('Raw Data'!H140-MIN('Raw Data'!H$2:'Raw Data'!H$352))*($J$3-$J$4)/(MAX('Raw Data'!H$2:'Raw Data'!H$352)-MIN('Raw Data'!H$2:'Raw Data'!H$352)),"")</f>
        <v/>
      </c>
      <c r="F140" s="52" t="str">
        <f ca="1">IFERROR($J$4+('Raw Data'!I140-MIN('Raw Data'!I$2:'Raw Data'!I$352))*($J$3-$J$4)/(MAX('Raw Data'!I$2:'Raw Data'!I$352)-MIN('Raw Data'!I$2:'Raw Data'!I$352)),"")</f>
        <v/>
      </c>
      <c r="G140" s="52">
        <f ca="1">IF(Bracket!$I$1="Composite",AVERAGE(B140:F140),IF(Bracket!$I$1="Kenpom",B140,IF(Bracket!$I$1="PVA",C140,IF(Bracket!$I$1="Sagarin Predictor",D140,IF(Bracket!$I$1="No Preseason",AVERAGE(B140:D140),"")))))</f>
        <v>74.228771575027551</v>
      </c>
      <c r="H140" s="63">
        <f t="shared" ca="1" si="2"/>
        <v>135</v>
      </c>
      <c r="I140" s="52"/>
      <c r="J140" s="52"/>
      <c r="K140" s="52"/>
    </row>
    <row r="141" spans="1:11" x14ac:dyDescent="0.3">
      <c r="A141" s="52" t="str">
        <f>'Raw Data'!A141</f>
        <v>Buffalo</v>
      </c>
      <c r="B141" s="52">
        <f ca="1">'Raw Data'!B141*($K$2/_xlfn.STDEV.P('Raw Data'!B$2:'Raw Data'!B$352)) + ($J$2-($K$2/_xlfn.STDEV.P('Raw Data'!B$2:'Raw Data'!B$352))*AVERAGE('Raw Data'!B$2:'Raw Data'!B$352))</f>
        <v>75.014615599687374</v>
      </c>
      <c r="C141" s="52">
        <f ca="1">'Raw Data'!C141*($K$2/_xlfn.STDEV.P('Raw Data'!C$2:'Raw Data'!C$352)) + ($J$2-($K$2/_xlfn.STDEV.P('Raw Data'!C$2:'Raw Data'!C$352))*AVERAGE('Raw Data'!C$2:'Raw Data'!C$352))</f>
        <v>74.745664429141328</v>
      </c>
      <c r="D141" s="52">
        <f ca="1">'Raw Data'!D141*($K$2/_xlfn.STDEV.P('Raw Data'!D$2:'Raw Data'!D$352)) + ($J$2-($K$2/_xlfn.STDEV.P('Raw Data'!D$2:'Raw Data'!D$352))*AVERAGE('Raw Data'!D$2:'Raw Data'!D$352))</f>
        <v>73.489999999999995</v>
      </c>
      <c r="E141" s="52" t="str">
        <f ca="1">IFERROR($J$4+('Raw Data'!H141-MIN('Raw Data'!H$2:'Raw Data'!H$352))*($J$3-$J$4)/(MAX('Raw Data'!H$2:'Raw Data'!H$352)-MIN('Raw Data'!H$2:'Raw Data'!H$352)),"")</f>
        <v/>
      </c>
      <c r="F141" s="52" t="str">
        <f ca="1">IFERROR($J$4+('Raw Data'!I141-MIN('Raw Data'!I$2:'Raw Data'!I$352))*($J$3-$J$4)/(MAX('Raw Data'!I$2:'Raw Data'!I$352)-MIN('Raw Data'!I$2:'Raw Data'!I$352)),"")</f>
        <v/>
      </c>
      <c r="G141" s="52">
        <f ca="1">IF(Bracket!$I$1="Composite",AVERAGE(B141:F141),IF(Bracket!$I$1="Kenpom",B141,IF(Bracket!$I$1="PVA",C141,IF(Bracket!$I$1="Sagarin Predictor",D141,IF(Bracket!$I$1="No Preseason",AVERAGE(B141:D141),"")))))</f>
        <v>74.416760009609561</v>
      </c>
      <c r="H141" s="63">
        <f t="shared" ca="1" si="2"/>
        <v>132</v>
      </c>
      <c r="I141" s="52"/>
      <c r="J141" s="52"/>
      <c r="K141" s="52"/>
    </row>
    <row r="142" spans="1:11" x14ac:dyDescent="0.3">
      <c r="A142" s="52" t="str">
        <f>'Raw Data'!A142</f>
        <v>TCU</v>
      </c>
      <c r="B142" s="52">
        <f ca="1">'Raw Data'!B142*($K$2/_xlfn.STDEV.P('Raw Data'!B$2:'Raw Data'!B$352)) + ($J$2-($K$2/_xlfn.STDEV.P('Raw Data'!B$2:'Raw Data'!B$352))*AVERAGE('Raw Data'!B$2:'Raw Data'!B$352))</f>
        <v>73.600216173445631</v>
      </c>
      <c r="C142" s="52">
        <f ca="1">'Raw Data'!C142*($K$2/_xlfn.STDEV.P('Raw Data'!C$2:'Raw Data'!C$352)) + ($J$2-($K$2/_xlfn.STDEV.P('Raw Data'!C$2:'Raw Data'!C$352))*AVERAGE('Raw Data'!C$2:'Raw Data'!C$352))</f>
        <v>73.582482898767665</v>
      </c>
      <c r="D142" s="52">
        <f ca="1">'Raw Data'!D142*($K$2/_xlfn.STDEV.P('Raw Data'!D$2:'Raw Data'!D$352)) + ($J$2-($K$2/_xlfn.STDEV.P('Raw Data'!D$2:'Raw Data'!D$352))*AVERAGE('Raw Data'!D$2:'Raw Data'!D$352))</f>
        <v>74.459999999999994</v>
      </c>
      <c r="E142" s="52" t="str">
        <f ca="1">IFERROR($J$4+('Raw Data'!H142-MIN('Raw Data'!H$2:'Raw Data'!H$352))*($J$3-$J$4)/(MAX('Raw Data'!H$2:'Raw Data'!H$352)-MIN('Raw Data'!H$2:'Raw Data'!H$352)),"")</f>
        <v/>
      </c>
      <c r="F142" s="52" t="str">
        <f ca="1">IFERROR($J$4+('Raw Data'!I142-MIN('Raw Data'!I$2:'Raw Data'!I$352))*($J$3-$J$4)/(MAX('Raw Data'!I$2:'Raw Data'!I$352)-MIN('Raw Data'!I$2:'Raw Data'!I$352)),"")</f>
        <v/>
      </c>
      <c r="G142" s="52">
        <f ca="1">IF(Bracket!$I$1="Composite",AVERAGE(B142:F142),IF(Bracket!$I$1="Kenpom",B142,IF(Bracket!$I$1="PVA",C142,IF(Bracket!$I$1="Sagarin Predictor",D142,IF(Bracket!$I$1="No Preseason",AVERAGE(B142:D142),"")))))</f>
        <v>73.880899690737763</v>
      </c>
      <c r="H142" s="63">
        <f t="shared" ca="1" si="2"/>
        <v>142</v>
      </c>
      <c r="I142" s="52"/>
      <c r="J142" s="52"/>
      <c r="K142" s="52"/>
    </row>
    <row r="143" spans="1:11" x14ac:dyDescent="0.3">
      <c r="A143" s="52" t="str">
        <f>'Raw Data'!A143</f>
        <v>Green Bay</v>
      </c>
      <c r="B143" s="52">
        <f ca="1">'Raw Data'!B143*($K$2/_xlfn.STDEV.P('Raw Data'!B$2:'Raw Data'!B$352)) + ($J$2-($K$2/_xlfn.STDEV.P('Raw Data'!B$2:'Raw Data'!B$352))*AVERAGE('Raw Data'!B$2:'Raw Data'!B$352))</f>
        <v>75.968863745925148</v>
      </c>
      <c r="C143" s="52">
        <f ca="1">'Raw Data'!C143*($K$2/_xlfn.STDEV.P('Raw Data'!C$2:'Raw Data'!C$352)) + ($J$2-($K$2/_xlfn.STDEV.P('Raw Data'!C$2:'Raw Data'!C$352))*AVERAGE('Raw Data'!C$2:'Raw Data'!C$352))</f>
        <v>74.745664429141328</v>
      </c>
      <c r="D143" s="52">
        <f ca="1">'Raw Data'!D143*($K$2/_xlfn.STDEV.P('Raw Data'!D$2:'Raw Data'!D$352)) + ($J$2-($K$2/_xlfn.STDEV.P('Raw Data'!D$2:'Raw Data'!D$352))*AVERAGE('Raw Data'!D$2:'Raw Data'!D$352))</f>
        <v>73.92</v>
      </c>
      <c r="E143" s="52" t="str">
        <f ca="1">IFERROR($J$4+('Raw Data'!H143-MIN('Raw Data'!H$2:'Raw Data'!H$352))*($J$3-$J$4)/(MAX('Raw Data'!H$2:'Raw Data'!H$352)-MIN('Raw Data'!H$2:'Raw Data'!H$352)),"")</f>
        <v/>
      </c>
      <c r="F143" s="52" t="str">
        <f ca="1">IFERROR($J$4+('Raw Data'!I143-MIN('Raw Data'!I$2:'Raw Data'!I$352))*($J$3-$J$4)/(MAX('Raw Data'!I$2:'Raw Data'!I$352)-MIN('Raw Data'!I$2:'Raw Data'!I$352)),"")</f>
        <v/>
      </c>
      <c r="G143" s="52">
        <f ca="1">IF(Bracket!$I$1="Composite",AVERAGE(B143:F143),IF(Bracket!$I$1="Kenpom",B143,IF(Bracket!$I$1="PVA",C143,IF(Bracket!$I$1="Sagarin Predictor",D143,IF(Bracket!$I$1="No Preseason",AVERAGE(B143:D143),"")))))</f>
        <v>74.878176058355493</v>
      </c>
      <c r="H143" s="63">
        <f t="shared" ca="1" si="2"/>
        <v>127</v>
      </c>
      <c r="I143" s="52"/>
      <c r="J143" s="52"/>
      <c r="K143" s="52"/>
    </row>
    <row r="144" spans="1:11" x14ac:dyDescent="0.3">
      <c r="A144" s="52" t="str">
        <f>'Raw Data'!A144</f>
        <v>Illinois</v>
      </c>
      <c r="B144" s="52">
        <f ca="1">'Raw Data'!B144*($K$2/_xlfn.STDEV.P('Raw Data'!B$2:'Raw Data'!B$352)) + ($J$2-($K$2/_xlfn.STDEV.P('Raw Data'!B$2:'Raw Data'!B$352))*AVERAGE('Raw Data'!B$2:'Raw Data'!B$352))</f>
        <v>74.920322304604596</v>
      </c>
      <c r="C144" s="52">
        <f ca="1">'Raw Data'!C144*($K$2/_xlfn.STDEV.P('Raw Data'!C$2:'Raw Data'!C$352)) + ($J$2-($K$2/_xlfn.STDEV.P('Raw Data'!C$2:'Raw Data'!C$352))*AVERAGE('Raw Data'!C$2:'Raw Data'!C$352))</f>
        <v>74.745664429141328</v>
      </c>
      <c r="D144" s="52">
        <f ca="1">'Raw Data'!D144*($K$2/_xlfn.STDEV.P('Raw Data'!D$2:'Raw Data'!D$352)) + ($J$2-($K$2/_xlfn.STDEV.P('Raw Data'!D$2:'Raw Data'!D$352))*AVERAGE('Raw Data'!D$2:'Raw Data'!D$352))</f>
        <v>75.459999999999994</v>
      </c>
      <c r="E144" s="52" t="str">
        <f ca="1">IFERROR($J$4+('Raw Data'!H144-MIN('Raw Data'!H$2:'Raw Data'!H$352))*($J$3-$J$4)/(MAX('Raw Data'!H$2:'Raw Data'!H$352)-MIN('Raw Data'!H$2:'Raw Data'!H$352)),"")</f>
        <v/>
      </c>
      <c r="F144" s="52" t="str">
        <f ca="1">IFERROR($J$4+('Raw Data'!I144-MIN('Raw Data'!I$2:'Raw Data'!I$352))*($J$3-$J$4)/(MAX('Raw Data'!I$2:'Raw Data'!I$352)-MIN('Raw Data'!I$2:'Raw Data'!I$352)),"")</f>
        <v/>
      </c>
      <c r="G144" s="52">
        <f ca="1">IF(Bracket!$I$1="Composite",AVERAGE(B144:F144),IF(Bracket!$I$1="Kenpom",B144,IF(Bracket!$I$1="PVA",C144,IF(Bracket!$I$1="Sagarin Predictor",D144,IF(Bracket!$I$1="No Preseason",AVERAGE(B144:D144),"")))))</f>
        <v>75.041995577915301</v>
      </c>
      <c r="H144" s="63">
        <f t="shared" ca="1" si="2"/>
        <v>122</v>
      </c>
      <c r="I144" s="52"/>
      <c r="J144" s="52"/>
      <c r="K144" s="52"/>
    </row>
    <row r="145" spans="1:11" x14ac:dyDescent="0.3">
      <c r="A145" s="52" t="str">
        <f>'Raw Data'!A145</f>
        <v>High Point</v>
      </c>
      <c r="B145" s="52">
        <f ca="1">'Raw Data'!B145*($K$2/_xlfn.STDEV.P('Raw Data'!B$2:'Raw Data'!B$352)) + ($J$2-($K$2/_xlfn.STDEV.P('Raw Data'!B$2:'Raw Data'!B$352))*AVERAGE('Raw Data'!B$2:'Raw Data'!B$352))</f>
        <v>72.570533391141652</v>
      </c>
      <c r="C145" s="52">
        <f ca="1">'Raw Data'!C145*($K$2/_xlfn.STDEV.P('Raw Data'!C$2:'Raw Data'!C$352)) + ($J$2-($K$2/_xlfn.STDEV.P('Raw Data'!C$2:'Raw Data'!C$352))*AVERAGE('Raw Data'!C$2:'Raw Data'!C$352))</f>
        <v>74.357937252350098</v>
      </c>
      <c r="D145" s="52">
        <f ca="1">'Raw Data'!D145*($K$2/_xlfn.STDEV.P('Raw Data'!D$2:'Raw Data'!D$352)) + ($J$2-($K$2/_xlfn.STDEV.P('Raw Data'!D$2:'Raw Data'!D$352))*AVERAGE('Raw Data'!D$2:'Raw Data'!D$352))</f>
        <v>72.13</v>
      </c>
      <c r="E145" s="52" t="str">
        <f ca="1">IFERROR($J$4+('Raw Data'!H145-MIN('Raw Data'!H$2:'Raw Data'!H$352))*($J$3-$J$4)/(MAX('Raw Data'!H$2:'Raw Data'!H$352)-MIN('Raw Data'!H$2:'Raw Data'!H$352)),"")</f>
        <v/>
      </c>
      <c r="F145" s="52" t="str">
        <f ca="1">IFERROR($J$4+('Raw Data'!I145-MIN('Raw Data'!I$2:'Raw Data'!I$352))*($J$3-$J$4)/(MAX('Raw Data'!I$2:'Raw Data'!I$352)-MIN('Raw Data'!I$2:'Raw Data'!I$352)),"")</f>
        <v/>
      </c>
      <c r="G145" s="52">
        <f ca="1">IF(Bracket!$I$1="Composite",AVERAGE(B145:F145),IF(Bracket!$I$1="Kenpom",B145,IF(Bracket!$I$1="PVA",C145,IF(Bracket!$I$1="Sagarin Predictor",D145,IF(Bracket!$I$1="No Preseason",AVERAGE(B145:D145),"")))))</f>
        <v>73.019490214497253</v>
      </c>
      <c r="H145" s="63">
        <f t="shared" ca="1" si="2"/>
        <v>148</v>
      </c>
      <c r="I145" s="52"/>
      <c r="J145" s="52"/>
      <c r="K145" s="52"/>
    </row>
    <row r="146" spans="1:11" x14ac:dyDescent="0.3">
      <c r="A146" s="52" t="str">
        <f>'Raw Data'!A146</f>
        <v>Central Michigan</v>
      </c>
      <c r="B146" s="52">
        <f ca="1">'Raw Data'!B146*($K$2/_xlfn.STDEV.P('Raw Data'!B$2:'Raw Data'!B$352)) + ($J$2-($K$2/_xlfn.STDEV.P('Raw Data'!B$2:'Raw Data'!B$352))*AVERAGE('Raw Data'!B$2:'Raw Data'!B$352))</f>
        <v>72.483783559665483</v>
      </c>
      <c r="C146" s="52">
        <f ca="1">'Raw Data'!C146*($K$2/_xlfn.STDEV.P('Raw Data'!C$2:'Raw Data'!C$352)) + ($J$2-($K$2/_xlfn.STDEV.P('Raw Data'!C$2:'Raw Data'!C$352))*AVERAGE('Raw Data'!C$2:'Raw Data'!C$352))</f>
        <v>72.419301368394002</v>
      </c>
      <c r="D146" s="52">
        <f ca="1">'Raw Data'!D146*($K$2/_xlfn.STDEV.P('Raw Data'!D$2:'Raw Data'!D$352)) + ($J$2-($K$2/_xlfn.STDEV.P('Raw Data'!D$2:'Raw Data'!D$352))*AVERAGE('Raw Data'!D$2:'Raw Data'!D$352))</f>
        <v>71.88</v>
      </c>
      <c r="E146" s="52">
        <f ca="1">IFERROR($J$4+('Raw Data'!H146-MIN('Raw Data'!H$2:'Raw Data'!H$352))*($J$3-$J$4)/(MAX('Raw Data'!H$2:'Raw Data'!H$352)-MIN('Raw Data'!H$2:'Raw Data'!H$352)),"")</f>
        <v>82.31</v>
      </c>
      <c r="F146" s="52" t="str">
        <f ca="1">IFERROR($J$4+('Raw Data'!I146-MIN('Raw Data'!I$2:'Raw Data'!I$352))*($J$3-$J$4)/(MAX('Raw Data'!I$2:'Raw Data'!I$352)-MIN('Raw Data'!I$2:'Raw Data'!I$352)),"")</f>
        <v/>
      </c>
      <c r="G146" s="52">
        <f ca="1">IF(Bracket!$I$1="Composite",AVERAGE(B146:F146),IF(Bracket!$I$1="Kenpom",B146,IF(Bracket!$I$1="PVA",C146,IF(Bracket!$I$1="Sagarin Predictor",D146,IF(Bracket!$I$1="No Preseason",AVERAGE(B146:D146),"")))))</f>
        <v>74.773271232014878</v>
      </c>
      <c r="H146" s="63">
        <f t="shared" ca="1" si="2"/>
        <v>129</v>
      </c>
      <c r="I146" s="52"/>
      <c r="J146" s="52"/>
      <c r="K146" s="52"/>
    </row>
    <row r="147" spans="1:11" x14ac:dyDescent="0.3">
      <c r="A147" s="52" t="str">
        <f>'Raw Data'!A147</f>
        <v>Southern Illinois</v>
      </c>
      <c r="B147" s="52">
        <f ca="1">'Raw Data'!B147*($K$2/_xlfn.STDEV.P('Raw Data'!B$2:'Raw Data'!B$352)) + ($J$2-($K$2/_xlfn.STDEV.P('Raw Data'!B$2:'Raw Data'!B$352))*AVERAGE('Raw Data'!B$2:'Raw Data'!B$352))</f>
        <v>73.871780863284044</v>
      </c>
      <c r="C147" s="52">
        <f ca="1">'Raw Data'!C147*($K$2/_xlfn.STDEV.P('Raw Data'!C$2:'Raw Data'!C$352)) + ($J$2-($K$2/_xlfn.STDEV.P('Raw Data'!C$2:'Raw Data'!C$352))*AVERAGE('Raw Data'!C$2:'Raw Data'!C$352))</f>
        <v>73.970210075558882</v>
      </c>
      <c r="D147" s="52">
        <f ca="1">'Raw Data'!D147*($K$2/_xlfn.STDEV.P('Raw Data'!D$2:'Raw Data'!D$352)) + ($J$2-($K$2/_xlfn.STDEV.P('Raw Data'!D$2:'Raw Data'!D$352))*AVERAGE('Raw Data'!D$2:'Raw Data'!D$352))</f>
        <v>74.23</v>
      </c>
      <c r="E147" s="52" t="str">
        <f ca="1">IFERROR($J$4+('Raw Data'!H147-MIN('Raw Data'!H$2:'Raw Data'!H$352))*($J$3-$J$4)/(MAX('Raw Data'!H$2:'Raw Data'!H$352)-MIN('Raw Data'!H$2:'Raw Data'!H$352)),"")</f>
        <v/>
      </c>
      <c r="F147" s="52" t="str">
        <f ca="1">IFERROR($J$4+('Raw Data'!I147-MIN('Raw Data'!I$2:'Raw Data'!I$352))*($J$3-$J$4)/(MAX('Raw Data'!I$2:'Raw Data'!I$352)-MIN('Raw Data'!I$2:'Raw Data'!I$352)),"")</f>
        <v/>
      </c>
      <c r="G147" s="52">
        <f ca="1">IF(Bracket!$I$1="Composite",AVERAGE(B147:F147),IF(Bracket!$I$1="Kenpom",B147,IF(Bracket!$I$1="PVA",C147,IF(Bracket!$I$1="Sagarin Predictor",D147,IF(Bracket!$I$1="No Preseason",AVERAGE(B147:D147),"")))))</f>
        <v>74.02399697961431</v>
      </c>
      <c r="H147" s="63">
        <f t="shared" ca="1" si="2"/>
        <v>139</v>
      </c>
      <c r="I147" s="52"/>
      <c r="J147" s="52"/>
      <c r="K147" s="52"/>
    </row>
    <row r="148" spans="1:11" x14ac:dyDescent="0.3">
      <c r="A148" s="52" t="str">
        <f>'Raw Data'!A148</f>
        <v>Winthrop</v>
      </c>
      <c r="B148" s="52">
        <f ca="1">'Raw Data'!B148*($K$2/_xlfn.STDEV.P('Raw Data'!B$2:'Raw Data'!B$352)) + ($J$2-($K$2/_xlfn.STDEV.P('Raw Data'!B$2:'Raw Data'!B$352))*AVERAGE('Raw Data'!B$2:'Raw Data'!B$352))</f>
        <v>73.166467016064843</v>
      </c>
      <c r="C148" s="52">
        <f ca="1">'Raw Data'!C148*($K$2/_xlfn.STDEV.P('Raw Data'!C$2:'Raw Data'!C$352)) + ($J$2-($K$2/_xlfn.STDEV.P('Raw Data'!C$2:'Raw Data'!C$352))*AVERAGE('Raw Data'!C$2:'Raw Data'!C$352))</f>
        <v>72.936270937448967</v>
      </c>
      <c r="D148" s="52">
        <f ca="1">'Raw Data'!D148*($K$2/_xlfn.STDEV.P('Raw Data'!D$2:'Raw Data'!D$352)) + ($J$2-($K$2/_xlfn.STDEV.P('Raw Data'!D$2:'Raw Data'!D$352))*AVERAGE('Raw Data'!D$2:'Raw Data'!D$352))</f>
        <v>71.2</v>
      </c>
      <c r="E148" s="52" t="str">
        <f ca="1">IFERROR($J$4+('Raw Data'!H148-MIN('Raw Data'!H$2:'Raw Data'!H$352))*($J$3-$J$4)/(MAX('Raw Data'!H$2:'Raw Data'!H$352)-MIN('Raw Data'!H$2:'Raw Data'!H$352)),"")</f>
        <v/>
      </c>
      <c r="F148" s="52" t="str">
        <f ca="1">IFERROR($J$4+('Raw Data'!I148-MIN('Raw Data'!I$2:'Raw Data'!I$352))*($J$3-$J$4)/(MAX('Raw Data'!I$2:'Raw Data'!I$352)-MIN('Raw Data'!I$2:'Raw Data'!I$352)),"")</f>
        <v/>
      </c>
      <c r="G148" s="52">
        <f ca="1">IF(Bracket!$I$1="Composite",AVERAGE(B148:F148),IF(Bracket!$I$1="Kenpom",B148,IF(Bracket!$I$1="PVA",C148,IF(Bracket!$I$1="Sagarin Predictor",D148,IF(Bracket!$I$1="No Preseason",AVERAGE(B148:D148),"")))))</f>
        <v>72.434245984504614</v>
      </c>
      <c r="H148" s="63">
        <f t="shared" ca="1" si="2"/>
        <v>156</v>
      </c>
      <c r="I148" s="52"/>
      <c r="J148" s="52"/>
      <c r="K148" s="52"/>
    </row>
    <row r="149" spans="1:11" x14ac:dyDescent="0.3">
      <c r="A149" s="52" t="str">
        <f>'Raw Data'!A149</f>
        <v>Montana</v>
      </c>
      <c r="B149" s="52">
        <f ca="1">'Raw Data'!B149*($K$2/_xlfn.STDEV.P('Raw Data'!B$2:'Raw Data'!B$352)) + ($J$2-($K$2/_xlfn.STDEV.P('Raw Data'!B$2:'Raw Data'!B$352))*AVERAGE('Raw Data'!B$2:'Raw Data'!B$352))</f>
        <v>73.573814050822463</v>
      </c>
      <c r="C149" s="52">
        <f ca="1">'Raw Data'!C149*($K$2/_xlfn.STDEV.P('Raw Data'!C$2:'Raw Data'!C$352)) + ($J$2-($K$2/_xlfn.STDEV.P('Raw Data'!C$2:'Raw Data'!C$352))*AVERAGE('Raw Data'!C$2:'Raw Data'!C$352))</f>
        <v>72.419301368394002</v>
      </c>
      <c r="D149" s="52">
        <f ca="1">'Raw Data'!D149*($K$2/_xlfn.STDEV.P('Raw Data'!D$2:'Raw Data'!D$352)) + ($J$2-($K$2/_xlfn.STDEV.P('Raw Data'!D$2:'Raw Data'!D$352))*AVERAGE('Raw Data'!D$2:'Raw Data'!D$352))</f>
        <v>72.489999999999995</v>
      </c>
      <c r="E149" s="52" t="str">
        <f ca="1">IFERROR($J$4+('Raw Data'!H149-MIN('Raw Data'!H$2:'Raw Data'!H$352))*($J$3-$J$4)/(MAX('Raw Data'!H$2:'Raw Data'!H$352)-MIN('Raw Data'!H$2:'Raw Data'!H$352)),"")</f>
        <v/>
      </c>
      <c r="F149" s="52" t="str">
        <f ca="1">IFERROR($J$4+('Raw Data'!I149-MIN('Raw Data'!I$2:'Raw Data'!I$352))*($J$3-$J$4)/(MAX('Raw Data'!I$2:'Raw Data'!I$352)-MIN('Raw Data'!I$2:'Raw Data'!I$352)),"")</f>
        <v/>
      </c>
      <c r="G149" s="52">
        <f ca="1">IF(Bracket!$I$1="Composite",AVERAGE(B149:F149),IF(Bracket!$I$1="Kenpom",B149,IF(Bracket!$I$1="PVA",C149,IF(Bracket!$I$1="Sagarin Predictor",D149,IF(Bracket!$I$1="No Preseason",AVERAGE(B149:D149),"")))))</f>
        <v>72.827705139738825</v>
      </c>
      <c r="H149" s="63">
        <f t="shared" ca="1" si="2"/>
        <v>152</v>
      </c>
      <c r="I149" s="52"/>
      <c r="J149" s="52"/>
      <c r="K149" s="52"/>
    </row>
    <row r="150" spans="1:11" x14ac:dyDescent="0.3">
      <c r="A150" s="52" t="str">
        <f>'Raw Data'!A150</f>
        <v>Vermont</v>
      </c>
      <c r="B150" s="52">
        <f ca="1">'Raw Data'!B150*($K$2/_xlfn.STDEV.P('Raw Data'!B$2:'Raw Data'!B$352)) + ($J$2-($K$2/_xlfn.STDEV.P('Raw Data'!B$2:'Raw Data'!B$352))*AVERAGE('Raw Data'!B$2:'Raw Data'!B$352))</f>
        <v>73.573814050822463</v>
      </c>
      <c r="C150" s="52">
        <f ca="1">'Raw Data'!C150*($K$2/_xlfn.STDEV.P('Raw Data'!C$2:'Raw Data'!C$352)) + ($J$2-($K$2/_xlfn.STDEV.P('Raw Data'!C$2:'Raw Data'!C$352))*AVERAGE('Raw Data'!C$2:'Raw Data'!C$352))</f>
        <v>71.514604622547836</v>
      </c>
      <c r="D150" s="52">
        <f ca="1">'Raw Data'!D150*($K$2/_xlfn.STDEV.P('Raw Data'!D$2:'Raw Data'!D$352)) + ($J$2-($K$2/_xlfn.STDEV.P('Raw Data'!D$2:'Raw Data'!D$352))*AVERAGE('Raw Data'!D$2:'Raw Data'!D$352))</f>
        <v>71.989999999999995</v>
      </c>
      <c r="E150" s="52" t="str">
        <f ca="1">IFERROR($J$4+('Raw Data'!H150-MIN('Raw Data'!H$2:'Raw Data'!H$352))*($J$3-$J$4)/(MAX('Raw Data'!H$2:'Raw Data'!H$352)-MIN('Raw Data'!H$2:'Raw Data'!H$352)),"")</f>
        <v/>
      </c>
      <c r="F150" s="52" t="str">
        <f ca="1">IFERROR($J$4+('Raw Data'!I150-MIN('Raw Data'!I$2:'Raw Data'!I$352))*($J$3-$J$4)/(MAX('Raw Data'!I$2:'Raw Data'!I$352)-MIN('Raw Data'!I$2:'Raw Data'!I$352)),"")</f>
        <v/>
      </c>
      <c r="G150" s="52">
        <f ca="1">IF(Bracket!$I$1="Composite",AVERAGE(B150:F150),IF(Bracket!$I$1="Kenpom",B150,IF(Bracket!$I$1="PVA",C150,IF(Bracket!$I$1="Sagarin Predictor",D150,IF(Bracket!$I$1="No Preseason",AVERAGE(B150:D150),"")))))</f>
        <v>72.359472891123445</v>
      </c>
      <c r="H150" s="63">
        <f t="shared" ca="1" si="2"/>
        <v>157</v>
      </c>
      <c r="I150" s="52"/>
      <c r="J150" s="52"/>
      <c r="K150" s="52"/>
    </row>
    <row r="151" spans="1:11" x14ac:dyDescent="0.3">
      <c r="A151" s="52" t="str">
        <f>'Raw Data'!A151</f>
        <v>Wright State</v>
      </c>
      <c r="B151" s="52">
        <f ca="1">'Raw Data'!B151*($K$2/_xlfn.STDEV.P('Raw Data'!B$2:'Raw Data'!B$352)) + ($J$2-($K$2/_xlfn.STDEV.P('Raw Data'!B$2:'Raw Data'!B$352))*AVERAGE('Raw Data'!B$2:'Raw Data'!B$352))</f>
        <v>74.052823989842992</v>
      </c>
      <c r="C151" s="52">
        <f ca="1">'Raw Data'!C151*($K$2/_xlfn.STDEV.P('Raw Data'!C$2:'Raw Data'!C$352)) + ($J$2-($K$2/_xlfn.STDEV.P('Raw Data'!C$2:'Raw Data'!C$352))*AVERAGE('Raw Data'!C$2:'Raw Data'!C$352))</f>
        <v>72.807028545185233</v>
      </c>
      <c r="D151" s="52">
        <f ca="1">'Raw Data'!D151*($K$2/_xlfn.STDEV.P('Raw Data'!D$2:'Raw Data'!D$352)) + ($J$2-($K$2/_xlfn.STDEV.P('Raw Data'!D$2:'Raw Data'!D$352))*AVERAGE('Raw Data'!D$2:'Raw Data'!D$352))</f>
        <v>72.81</v>
      </c>
      <c r="E151" s="52" t="str">
        <f ca="1">IFERROR($J$4+('Raw Data'!H151-MIN('Raw Data'!H$2:'Raw Data'!H$352))*($J$3-$J$4)/(MAX('Raw Data'!H$2:'Raw Data'!H$352)-MIN('Raw Data'!H$2:'Raw Data'!H$352)),"")</f>
        <v/>
      </c>
      <c r="F151" s="52" t="str">
        <f ca="1">IFERROR($J$4+('Raw Data'!I151-MIN('Raw Data'!I$2:'Raw Data'!I$352))*($J$3-$J$4)/(MAX('Raw Data'!I$2:'Raw Data'!I$352)-MIN('Raw Data'!I$2:'Raw Data'!I$352)),"")</f>
        <v/>
      </c>
      <c r="G151" s="52">
        <f ca="1">IF(Bracket!$I$1="Composite",AVERAGE(B151:F151),IF(Bracket!$I$1="Kenpom",B151,IF(Bracket!$I$1="PVA",C151,IF(Bracket!$I$1="Sagarin Predictor",D151,IF(Bracket!$I$1="No Preseason",AVERAGE(B151:D151),"")))))</f>
        <v>73.223284178342738</v>
      </c>
      <c r="H151" s="63">
        <f t="shared" ca="1" si="2"/>
        <v>144</v>
      </c>
      <c r="I151" s="52"/>
      <c r="J151" s="52"/>
      <c r="K151" s="52"/>
    </row>
    <row r="152" spans="1:11" x14ac:dyDescent="0.3">
      <c r="A152" s="52" t="str">
        <f>'Raw Data'!A152</f>
        <v>Middle Tennessee</v>
      </c>
      <c r="B152" s="52">
        <f ca="1">'Raw Data'!B152*($K$2/_xlfn.STDEV.P('Raw Data'!B$2:'Raw Data'!B$352)) + ($J$2-($K$2/_xlfn.STDEV.P('Raw Data'!B$2:'Raw Data'!B$352))*AVERAGE('Raw Data'!B$2:'Raw Data'!B$352))</f>
        <v>77.96033813807351</v>
      </c>
      <c r="C152" s="52">
        <f ca="1">'Raw Data'!C152*($K$2/_xlfn.STDEV.P('Raw Data'!C$2:'Raw Data'!C$352)) + ($J$2-($K$2/_xlfn.STDEV.P('Raw Data'!C$2:'Raw Data'!C$352))*AVERAGE('Raw Data'!C$2:'Raw Data'!C$352))</f>
        <v>73.970210075558882</v>
      </c>
      <c r="D152" s="52">
        <f ca="1">'Raw Data'!D152*($K$2/_xlfn.STDEV.P('Raw Data'!D$2:'Raw Data'!D$352)) + ($J$2-($K$2/_xlfn.STDEV.P('Raw Data'!D$2:'Raw Data'!D$352))*AVERAGE('Raw Data'!D$2:'Raw Data'!D$352))</f>
        <v>75.489999999999995</v>
      </c>
      <c r="E152" s="52" t="str">
        <f ca="1">IFERROR($J$4+('Raw Data'!H152-MIN('Raw Data'!H$2:'Raw Data'!H$352))*($J$3-$J$4)/(MAX('Raw Data'!H$2:'Raw Data'!H$352)-MIN('Raw Data'!H$2:'Raw Data'!H$352)),"")</f>
        <v/>
      </c>
      <c r="F152" s="52" t="str">
        <f ca="1">IFERROR($J$4+('Raw Data'!I152-MIN('Raw Data'!I$2:'Raw Data'!I$352))*($J$3-$J$4)/(MAX('Raw Data'!I$2:'Raw Data'!I$352)-MIN('Raw Data'!I$2:'Raw Data'!I$352)),"")</f>
        <v/>
      </c>
      <c r="G152" s="52">
        <f ca="1">IF(Bracket!$I$1="Composite",AVERAGE(B152:F152),IF(Bracket!$I$1="Kenpom",B152,IF(Bracket!$I$1="PVA",C152,IF(Bracket!$I$1="Sagarin Predictor",D152,IF(Bracket!$I$1="No Preseason",AVERAGE(B152:D152),"")))))</f>
        <v>75.806849404544138</v>
      </c>
      <c r="H152" s="63">
        <f t="shared" ca="1" si="2"/>
        <v>115</v>
      </c>
      <c r="I152" s="52"/>
      <c r="J152" s="52"/>
      <c r="K152" s="52"/>
    </row>
    <row r="153" spans="1:11" x14ac:dyDescent="0.3">
      <c r="A153" s="52" t="str">
        <f>'Raw Data'!A153</f>
        <v>North Dakota St</v>
      </c>
      <c r="B153" s="52">
        <f ca="1">'Raw Data'!B153*($K$2/_xlfn.STDEV.P('Raw Data'!B$2:'Raw Data'!B$352)) + ($J$2-($K$2/_xlfn.STDEV.P('Raw Data'!B$2:'Raw Data'!B$352))*AVERAGE('Raw Data'!B$2:'Raw Data'!B$352))</f>
        <v>73.818976618037695</v>
      </c>
      <c r="C153" s="52">
        <f ca="1">'Raw Data'!C153*($K$2/_xlfn.STDEV.P('Raw Data'!C$2:'Raw Data'!C$352)) + ($J$2-($K$2/_xlfn.STDEV.P('Raw Data'!C$2:'Raw Data'!C$352))*AVERAGE('Raw Data'!C$2:'Raw Data'!C$352))</f>
        <v>72.031574191602786</v>
      </c>
      <c r="D153" s="52">
        <f ca="1">'Raw Data'!D153*($K$2/_xlfn.STDEV.P('Raw Data'!D$2:'Raw Data'!D$352)) + ($J$2-($K$2/_xlfn.STDEV.P('Raw Data'!D$2:'Raw Data'!D$352))*AVERAGE('Raw Data'!D$2:'Raw Data'!D$352))</f>
        <v>72.45</v>
      </c>
      <c r="E153" s="52" t="str">
        <f ca="1">IFERROR($J$4+('Raw Data'!H153-MIN('Raw Data'!H$2:'Raw Data'!H$352))*($J$3-$J$4)/(MAX('Raw Data'!H$2:'Raw Data'!H$352)-MIN('Raw Data'!H$2:'Raw Data'!H$352)),"")</f>
        <v/>
      </c>
      <c r="F153" s="52" t="str">
        <f ca="1">IFERROR($J$4+('Raw Data'!I153-MIN('Raw Data'!I$2:'Raw Data'!I$352))*($J$3-$J$4)/(MAX('Raw Data'!I$2:'Raw Data'!I$352)-MIN('Raw Data'!I$2:'Raw Data'!I$352)),"")</f>
        <v/>
      </c>
      <c r="G153" s="52">
        <f ca="1">IF(Bracket!$I$1="Composite",AVERAGE(B153:F153),IF(Bracket!$I$1="Kenpom",B153,IF(Bracket!$I$1="PVA",C153,IF(Bracket!$I$1="Sagarin Predictor",D153,IF(Bracket!$I$1="No Preseason",AVERAGE(B153:D153),"")))))</f>
        <v>72.766850269880152</v>
      </c>
      <c r="H153" s="63">
        <f t="shared" ca="1" si="2"/>
        <v>153</v>
      </c>
      <c r="I153" s="52"/>
      <c r="J153" s="52"/>
      <c r="K153" s="52"/>
    </row>
    <row r="154" spans="1:11" x14ac:dyDescent="0.3">
      <c r="A154" s="52" t="str">
        <f>'Raw Data'!A154</f>
        <v>Elon</v>
      </c>
      <c r="B154" s="52">
        <f ca="1">'Raw Data'!B154*($K$2/_xlfn.STDEV.P('Raw Data'!B$2:'Raw Data'!B$352)) + ($J$2-($K$2/_xlfn.STDEV.P('Raw Data'!B$2:'Raw Data'!B$352))*AVERAGE('Raw Data'!B$2:'Raw Data'!B$352))</f>
        <v>72.385718532779393</v>
      </c>
      <c r="C154" s="52">
        <f ca="1">'Raw Data'!C154*($K$2/_xlfn.STDEV.P('Raw Data'!C$2:'Raw Data'!C$352)) + ($J$2-($K$2/_xlfn.STDEV.P('Raw Data'!C$2:'Raw Data'!C$352))*AVERAGE('Raw Data'!C$2:'Raw Data'!C$352))</f>
        <v>71.902331799339052</v>
      </c>
      <c r="D154" s="52">
        <f ca="1">'Raw Data'!D154*($K$2/_xlfn.STDEV.P('Raw Data'!D$2:'Raw Data'!D$352)) + ($J$2-($K$2/_xlfn.STDEV.P('Raw Data'!D$2:'Raw Data'!D$352))*AVERAGE('Raw Data'!D$2:'Raw Data'!D$352))</f>
        <v>71.08</v>
      </c>
      <c r="E154" s="52" t="str">
        <f ca="1">IFERROR($J$4+('Raw Data'!H154-MIN('Raw Data'!H$2:'Raw Data'!H$352))*($J$3-$J$4)/(MAX('Raw Data'!H$2:'Raw Data'!H$352)-MIN('Raw Data'!H$2:'Raw Data'!H$352)),"")</f>
        <v/>
      </c>
      <c r="F154" s="52" t="str">
        <f ca="1">IFERROR($J$4+('Raw Data'!I154-MIN('Raw Data'!I$2:'Raw Data'!I$352))*($J$3-$J$4)/(MAX('Raw Data'!I$2:'Raw Data'!I$352)-MIN('Raw Data'!I$2:'Raw Data'!I$352)),"")</f>
        <v/>
      </c>
      <c r="G154" s="52">
        <f ca="1">IF(Bracket!$I$1="Composite",AVERAGE(B154:F154),IF(Bracket!$I$1="Kenpom",B154,IF(Bracket!$I$1="PVA",C154,IF(Bracket!$I$1="Sagarin Predictor",D154,IF(Bracket!$I$1="No Preseason",AVERAGE(B154:D154),"")))))</f>
        <v>71.789350110706152</v>
      </c>
      <c r="H154" s="63">
        <f t="shared" ca="1" si="2"/>
        <v>162</v>
      </c>
      <c r="I154" s="52"/>
      <c r="J154" s="52"/>
      <c r="K154" s="52"/>
    </row>
    <row r="155" spans="1:11" x14ac:dyDescent="0.3">
      <c r="A155" s="52" t="str">
        <f>'Raw Data'!A155</f>
        <v>LA Tech</v>
      </c>
      <c r="B155" s="52">
        <f ca="1">'Raw Data'!B155*($K$2/_xlfn.STDEV.P('Raw Data'!B$2:'Raw Data'!B$352)) + ($J$2-($K$2/_xlfn.STDEV.P('Raw Data'!B$2:'Raw Data'!B$352))*AVERAGE('Raw Data'!B$2:'Raw Data'!B$352))</f>
        <v>73.117434502621791</v>
      </c>
      <c r="C155" s="52">
        <f ca="1">'Raw Data'!C155*($K$2/_xlfn.STDEV.P('Raw Data'!C$2:'Raw Data'!C$352)) + ($J$2-($K$2/_xlfn.STDEV.P('Raw Data'!C$2:'Raw Data'!C$352))*AVERAGE('Raw Data'!C$2:'Raw Data'!C$352))</f>
        <v>72.807028545185233</v>
      </c>
      <c r="D155" s="52">
        <f ca="1">'Raw Data'!D155*($K$2/_xlfn.STDEV.P('Raw Data'!D$2:'Raw Data'!D$352)) + ($J$2-($K$2/_xlfn.STDEV.P('Raw Data'!D$2:'Raw Data'!D$352))*AVERAGE('Raw Data'!D$2:'Raw Data'!D$352))</f>
        <v>72.88</v>
      </c>
      <c r="E155" s="52" t="str">
        <f ca="1">IFERROR($J$4+('Raw Data'!H155-MIN('Raw Data'!H$2:'Raw Data'!H$352))*($J$3-$J$4)/(MAX('Raw Data'!H$2:'Raw Data'!H$352)-MIN('Raw Data'!H$2:'Raw Data'!H$352)),"")</f>
        <v/>
      </c>
      <c r="F155" s="52" t="str">
        <f ca="1">IFERROR($J$4+('Raw Data'!I155-MIN('Raw Data'!I$2:'Raw Data'!I$352))*($J$3-$J$4)/(MAX('Raw Data'!I$2:'Raw Data'!I$352)-MIN('Raw Data'!I$2:'Raw Data'!I$352)),"")</f>
        <v/>
      </c>
      <c r="G155" s="52">
        <f ca="1">IF(Bracket!$I$1="Composite",AVERAGE(B155:F155),IF(Bracket!$I$1="Kenpom",B155,IF(Bracket!$I$1="PVA",C155,IF(Bracket!$I$1="Sagarin Predictor",D155,IF(Bracket!$I$1="No Preseason",AVERAGE(B155:D155),"")))))</f>
        <v>72.934821015935668</v>
      </c>
      <c r="H155" s="63">
        <f t="shared" ca="1" si="2"/>
        <v>150</v>
      </c>
      <c r="I155" s="52"/>
      <c r="J155" s="52"/>
      <c r="K155" s="52"/>
    </row>
    <row r="156" spans="1:11" x14ac:dyDescent="0.3">
      <c r="A156" s="52" t="str">
        <f>'Raw Data'!A156</f>
        <v>TAMU Corpus Christi</v>
      </c>
      <c r="B156" s="52">
        <f ca="1">'Raw Data'!B156*($K$2/_xlfn.STDEV.P('Raw Data'!B$2:'Raw Data'!B$352)) + ($J$2-($K$2/_xlfn.STDEV.P('Raw Data'!B$2:'Raw Data'!B$352))*AVERAGE('Raw Data'!B$2:'Raw Data'!B$352))</f>
        <v>72.242392724253563</v>
      </c>
      <c r="C156" s="52">
        <f ca="1">'Raw Data'!C156*($K$2/_xlfn.STDEV.P('Raw Data'!C$2:'Raw Data'!C$352)) + ($J$2-($K$2/_xlfn.STDEV.P('Raw Data'!C$2:'Raw Data'!C$352))*AVERAGE('Raw Data'!C$2:'Raw Data'!C$352))</f>
        <v>71.902331799339052</v>
      </c>
      <c r="D156" s="52">
        <f ca="1">'Raw Data'!D156*($K$2/_xlfn.STDEV.P('Raw Data'!D$2:'Raw Data'!D$352)) + ($J$2-($K$2/_xlfn.STDEV.P('Raw Data'!D$2:'Raw Data'!D$352))*AVERAGE('Raw Data'!D$2:'Raw Data'!D$352))</f>
        <v>70.430000000000007</v>
      </c>
      <c r="E156" s="52" t="str">
        <f ca="1">IFERROR($J$4+('Raw Data'!H156-MIN('Raw Data'!H$2:'Raw Data'!H$352))*($J$3-$J$4)/(MAX('Raw Data'!H$2:'Raw Data'!H$352)-MIN('Raw Data'!H$2:'Raw Data'!H$352)),"")</f>
        <v/>
      </c>
      <c r="F156" s="52" t="str">
        <f ca="1">IFERROR($J$4+('Raw Data'!I156-MIN('Raw Data'!I$2:'Raw Data'!I$352))*($J$3-$J$4)/(MAX('Raw Data'!I$2:'Raw Data'!I$352)-MIN('Raw Data'!I$2:'Raw Data'!I$352)),"")</f>
        <v/>
      </c>
      <c r="G156" s="52">
        <f ca="1">IF(Bracket!$I$1="Composite",AVERAGE(B156:F156),IF(Bracket!$I$1="Kenpom",B156,IF(Bracket!$I$1="PVA",C156,IF(Bracket!$I$1="Sagarin Predictor",D156,IF(Bracket!$I$1="No Preseason",AVERAGE(B156:D156),"")))))</f>
        <v>71.524908174530879</v>
      </c>
      <c r="H156" s="63">
        <f t="shared" ca="1" si="2"/>
        <v>165</v>
      </c>
      <c r="I156" s="52"/>
      <c r="J156" s="52"/>
      <c r="K156" s="52"/>
    </row>
    <row r="157" spans="1:11" x14ac:dyDescent="0.3">
      <c r="A157" s="52" t="str">
        <f>'Raw Data'!A157</f>
        <v>East Tennessee St</v>
      </c>
      <c r="B157" s="52">
        <f ca="1">'Raw Data'!B157*($K$2/_xlfn.STDEV.P('Raw Data'!B$2:'Raw Data'!B$352)) + ($J$2-($K$2/_xlfn.STDEV.P('Raw Data'!B$2:'Raw Data'!B$352))*AVERAGE('Raw Data'!B$2:'Raw Data'!B$352))</f>
        <v>73.596444441642319</v>
      </c>
      <c r="C157" s="52">
        <f ca="1">'Raw Data'!C157*($K$2/_xlfn.STDEV.P('Raw Data'!C$2:'Raw Data'!C$352)) + ($J$2-($K$2/_xlfn.STDEV.P('Raw Data'!C$2:'Raw Data'!C$352))*AVERAGE('Raw Data'!C$2:'Raw Data'!C$352))</f>
        <v>72.807028545185233</v>
      </c>
      <c r="D157" s="52">
        <f ca="1">'Raw Data'!D157*($K$2/_xlfn.STDEV.P('Raw Data'!D$2:'Raw Data'!D$352)) + ($J$2-($K$2/_xlfn.STDEV.P('Raw Data'!D$2:'Raw Data'!D$352))*AVERAGE('Raw Data'!D$2:'Raw Data'!D$352))</f>
        <v>71.39</v>
      </c>
      <c r="E157" s="52" t="str">
        <f ca="1">IFERROR($J$4+('Raw Data'!H157-MIN('Raw Data'!H$2:'Raw Data'!H$352))*($J$3-$J$4)/(MAX('Raw Data'!H$2:'Raw Data'!H$352)-MIN('Raw Data'!H$2:'Raw Data'!H$352)),"")</f>
        <v/>
      </c>
      <c r="F157" s="52" t="str">
        <f ca="1">IFERROR($J$4+('Raw Data'!I157-MIN('Raw Data'!I$2:'Raw Data'!I$352))*($J$3-$J$4)/(MAX('Raw Data'!I$2:'Raw Data'!I$352)-MIN('Raw Data'!I$2:'Raw Data'!I$352)),"")</f>
        <v/>
      </c>
      <c r="G157" s="52">
        <f ca="1">IF(Bracket!$I$1="Composite",AVERAGE(B157:F157),IF(Bracket!$I$1="Kenpom",B157,IF(Bracket!$I$1="PVA",C157,IF(Bracket!$I$1="Sagarin Predictor",D157,IF(Bracket!$I$1="No Preseason",AVERAGE(B157:D157),"")))))</f>
        <v>72.597824328942522</v>
      </c>
      <c r="H157" s="63">
        <f t="shared" ca="1" si="2"/>
        <v>154</v>
      </c>
      <c r="I157" s="52"/>
      <c r="J157" s="52"/>
      <c r="K157" s="52"/>
    </row>
    <row r="158" spans="1:11" x14ac:dyDescent="0.3">
      <c r="A158" s="52" t="str">
        <f>'Raw Data'!A158</f>
        <v>Coastal Carolina</v>
      </c>
      <c r="B158" s="52">
        <f ca="1">'Raw Data'!B158*($K$2/_xlfn.STDEV.P('Raw Data'!B$2:'Raw Data'!B$352)) + ($J$2-($K$2/_xlfn.STDEV.P('Raw Data'!B$2:'Raw Data'!B$352))*AVERAGE('Raw Data'!B$2:'Raw Data'!B$352))</f>
        <v>71.797328371462839</v>
      </c>
      <c r="C158" s="52">
        <f ca="1">'Raw Data'!C158*($K$2/_xlfn.STDEV.P('Raw Data'!C$2:'Raw Data'!C$352)) + ($J$2-($K$2/_xlfn.STDEV.P('Raw Data'!C$2:'Raw Data'!C$352))*AVERAGE('Raw Data'!C$2:'Raw Data'!C$352))</f>
        <v>72.290058976130268</v>
      </c>
      <c r="D158" s="52">
        <f ca="1">'Raw Data'!D158*($K$2/_xlfn.STDEV.P('Raw Data'!D$2:'Raw Data'!D$352)) + ($J$2-($K$2/_xlfn.STDEV.P('Raw Data'!D$2:'Raw Data'!D$352))*AVERAGE('Raw Data'!D$2:'Raw Data'!D$352))</f>
        <v>70.84</v>
      </c>
      <c r="E158" s="52" t="str">
        <f ca="1">IFERROR($J$4+('Raw Data'!H158-MIN('Raw Data'!H$2:'Raw Data'!H$352))*($J$3-$J$4)/(MAX('Raw Data'!H$2:'Raw Data'!H$352)-MIN('Raw Data'!H$2:'Raw Data'!H$352)),"")</f>
        <v/>
      </c>
      <c r="F158" s="52" t="str">
        <f ca="1">IFERROR($J$4+('Raw Data'!I158-MIN('Raw Data'!I$2:'Raw Data'!I$352))*($J$3-$J$4)/(MAX('Raw Data'!I$2:'Raw Data'!I$352)-MIN('Raw Data'!I$2:'Raw Data'!I$352)),"")</f>
        <v/>
      </c>
      <c r="G158" s="52">
        <f ca="1">IF(Bracket!$I$1="Composite",AVERAGE(B158:F158),IF(Bracket!$I$1="Kenpom",B158,IF(Bracket!$I$1="PVA",C158,IF(Bracket!$I$1="Sagarin Predictor",D158,IF(Bracket!$I$1="No Preseason",AVERAGE(B158:D158),"")))))</f>
        <v>71.642462449197708</v>
      </c>
      <c r="H158" s="63">
        <f t="shared" ca="1" si="2"/>
        <v>163</v>
      </c>
      <c r="I158" s="52"/>
      <c r="J158" s="52"/>
      <c r="K158" s="52"/>
    </row>
    <row r="159" spans="1:11" x14ac:dyDescent="0.3">
      <c r="A159" s="52" t="str">
        <f>'Raw Data'!A159</f>
        <v>Duquesne</v>
      </c>
      <c r="B159" s="52">
        <f ca="1">'Raw Data'!B159*($K$2/_xlfn.STDEV.P('Raw Data'!B$2:'Raw Data'!B$352)) + ($J$2-($K$2/_xlfn.STDEV.P('Raw Data'!B$2:'Raw Data'!B$352))*AVERAGE('Raw Data'!B$2:'Raw Data'!B$352))</f>
        <v>71.231568600966142</v>
      </c>
      <c r="C159" s="52">
        <f ca="1">'Raw Data'!C159*($K$2/_xlfn.STDEV.P('Raw Data'!C$2:'Raw Data'!C$352)) + ($J$2-($K$2/_xlfn.STDEV.P('Raw Data'!C$2:'Raw Data'!C$352))*AVERAGE('Raw Data'!C$2:'Raw Data'!C$352))</f>
        <v>72.936270937448967</v>
      </c>
      <c r="D159" s="52">
        <f ca="1">'Raw Data'!D159*($K$2/_xlfn.STDEV.P('Raw Data'!D$2:'Raw Data'!D$352)) + ($J$2-($K$2/_xlfn.STDEV.P('Raw Data'!D$2:'Raw Data'!D$352))*AVERAGE('Raw Data'!D$2:'Raw Data'!D$352))</f>
        <v>72.78</v>
      </c>
      <c r="E159" s="52" t="str">
        <f ca="1">IFERROR($J$4+('Raw Data'!H159-MIN('Raw Data'!H$2:'Raw Data'!H$352))*($J$3-$J$4)/(MAX('Raw Data'!H$2:'Raw Data'!H$352)-MIN('Raw Data'!H$2:'Raw Data'!H$352)),"")</f>
        <v/>
      </c>
      <c r="F159" s="52" t="str">
        <f ca="1">IFERROR($J$4+('Raw Data'!I159-MIN('Raw Data'!I$2:'Raw Data'!I$352))*($J$3-$J$4)/(MAX('Raw Data'!I$2:'Raw Data'!I$352)-MIN('Raw Data'!I$2:'Raw Data'!I$352)),"")</f>
        <v/>
      </c>
      <c r="G159" s="52">
        <f ca="1">IF(Bracket!$I$1="Composite",AVERAGE(B159:F159),IF(Bracket!$I$1="Kenpom",B159,IF(Bracket!$I$1="PVA",C159,IF(Bracket!$I$1="Sagarin Predictor",D159,IF(Bracket!$I$1="No Preseason",AVERAGE(B159:D159),"")))))</f>
        <v>72.315946512805041</v>
      </c>
      <c r="H159" s="63">
        <f t="shared" ca="1" si="2"/>
        <v>158</v>
      </c>
      <c r="I159" s="52"/>
      <c r="J159" s="52"/>
      <c r="K159" s="52"/>
    </row>
    <row r="160" spans="1:11" x14ac:dyDescent="0.3">
      <c r="A160" s="52" t="str">
        <f>'Raw Data'!A160</f>
        <v>Eastern Michigan</v>
      </c>
      <c r="B160" s="52">
        <f ca="1">'Raw Data'!B160*($K$2/_xlfn.STDEV.P('Raw Data'!B$2:'Raw Data'!B$352)) + ($J$2-($K$2/_xlfn.STDEV.P('Raw Data'!B$2:'Raw Data'!B$352))*AVERAGE('Raw Data'!B$2:'Raw Data'!B$352))</f>
        <v>73.174010479671466</v>
      </c>
      <c r="C160" s="52">
        <f ca="1">'Raw Data'!C160*($K$2/_xlfn.STDEV.P('Raw Data'!C$2:'Raw Data'!C$352)) + ($J$2-($K$2/_xlfn.STDEV.P('Raw Data'!C$2:'Raw Data'!C$352))*AVERAGE('Raw Data'!C$2:'Raw Data'!C$352))</f>
        <v>73.711725291031399</v>
      </c>
      <c r="D160" s="52">
        <f ca="1">'Raw Data'!D160*($K$2/_xlfn.STDEV.P('Raw Data'!D$2:'Raw Data'!D$352)) + ($J$2-($K$2/_xlfn.STDEV.P('Raw Data'!D$2:'Raw Data'!D$352))*AVERAGE('Raw Data'!D$2:'Raw Data'!D$352))</f>
        <v>72.319999999999993</v>
      </c>
      <c r="E160" s="52" t="str">
        <f ca="1">IFERROR($J$4+('Raw Data'!H160-MIN('Raw Data'!H$2:'Raw Data'!H$352))*($J$3-$J$4)/(MAX('Raw Data'!H$2:'Raw Data'!H$352)-MIN('Raw Data'!H$2:'Raw Data'!H$352)),"")</f>
        <v/>
      </c>
      <c r="F160" s="52" t="str">
        <f ca="1">IFERROR($J$4+('Raw Data'!I160-MIN('Raw Data'!I$2:'Raw Data'!I$352))*($J$3-$J$4)/(MAX('Raw Data'!I$2:'Raw Data'!I$352)-MIN('Raw Data'!I$2:'Raw Data'!I$352)),"")</f>
        <v/>
      </c>
      <c r="G160" s="52">
        <f ca="1">IF(Bracket!$I$1="Composite",AVERAGE(B160:F160),IF(Bracket!$I$1="Kenpom",B160,IF(Bracket!$I$1="PVA",C160,IF(Bracket!$I$1="Sagarin Predictor",D160,IF(Bracket!$I$1="No Preseason",AVERAGE(B160:D160),"")))))</f>
        <v>73.068578590234281</v>
      </c>
      <c r="H160" s="63">
        <f t="shared" ca="1" si="2"/>
        <v>147</v>
      </c>
      <c r="I160" s="52"/>
      <c r="J160" s="52"/>
      <c r="K160" s="52"/>
    </row>
    <row r="161" spans="1:11" x14ac:dyDescent="0.3">
      <c r="A161" s="52" t="str">
        <f>'Raw Data'!A161</f>
        <v>North Florida</v>
      </c>
      <c r="B161" s="52">
        <f ca="1">'Raw Data'!B161*($K$2/_xlfn.STDEV.P('Raw Data'!B$2:'Raw Data'!B$352)) + ($J$2-($K$2/_xlfn.STDEV.P('Raw Data'!B$2:'Raw Data'!B$352))*AVERAGE('Raw Data'!B$2:'Raw Data'!B$352))</f>
        <v>69.187289963571402</v>
      </c>
      <c r="C161" s="52">
        <f ca="1">'Raw Data'!C161*($K$2/_xlfn.STDEV.P('Raw Data'!C$2:'Raw Data'!C$352)) + ($J$2-($K$2/_xlfn.STDEV.P('Raw Data'!C$2:'Raw Data'!C$352))*AVERAGE('Raw Data'!C$2:'Raw Data'!C$352))</f>
        <v>71.773089407075304</v>
      </c>
      <c r="D161" s="52">
        <f ca="1">'Raw Data'!D161*($K$2/_xlfn.STDEV.P('Raw Data'!D$2:'Raw Data'!D$352)) + ($J$2-($K$2/_xlfn.STDEV.P('Raw Data'!D$2:'Raw Data'!D$352))*AVERAGE('Raw Data'!D$2:'Raw Data'!D$352))</f>
        <v>70.97</v>
      </c>
      <c r="E161" s="52" t="str">
        <f ca="1">IFERROR($J$4+('Raw Data'!H161-MIN('Raw Data'!H$2:'Raw Data'!H$352))*($J$3-$J$4)/(MAX('Raw Data'!H$2:'Raw Data'!H$352)-MIN('Raw Data'!H$2:'Raw Data'!H$352)),"")</f>
        <v/>
      </c>
      <c r="F161" s="52" t="str">
        <f ca="1">IFERROR($J$4+('Raw Data'!I161-MIN('Raw Data'!I$2:'Raw Data'!I$352))*($J$3-$J$4)/(MAX('Raw Data'!I$2:'Raw Data'!I$352)-MIN('Raw Data'!I$2:'Raw Data'!I$352)),"")</f>
        <v/>
      </c>
      <c r="G161" s="52">
        <f ca="1">IF(Bracket!$I$1="Composite",AVERAGE(B161:F161),IF(Bracket!$I$1="Kenpom",B161,IF(Bracket!$I$1="PVA",C161,IF(Bracket!$I$1="Sagarin Predictor",D161,IF(Bracket!$I$1="No Preseason",AVERAGE(B161:D161),"")))))</f>
        <v>70.643459790215573</v>
      </c>
      <c r="H161" s="63">
        <f t="shared" ca="1" si="2"/>
        <v>178</v>
      </c>
      <c r="I161" s="52"/>
      <c r="J161" s="52"/>
      <c r="K161" s="52"/>
    </row>
    <row r="162" spans="1:11" x14ac:dyDescent="0.3">
      <c r="A162" s="52" t="str">
        <f>'Raw Data'!A162</f>
        <v>Northern Illinois</v>
      </c>
      <c r="B162" s="52">
        <f ca="1">'Raw Data'!B162*($K$2/_xlfn.STDEV.P('Raw Data'!B$2:'Raw Data'!B$352)) + ($J$2-($K$2/_xlfn.STDEV.P('Raw Data'!B$2:'Raw Data'!B$352))*AVERAGE('Raw Data'!B$2:'Raw Data'!B$352))</f>
        <v>71.676632953756865</v>
      </c>
      <c r="C162" s="52">
        <f ca="1">'Raw Data'!C162*($K$2/_xlfn.STDEV.P('Raw Data'!C$2:'Raw Data'!C$352)) + ($J$2-($K$2/_xlfn.STDEV.P('Raw Data'!C$2:'Raw Data'!C$352))*AVERAGE('Raw Data'!C$2:'Raw Data'!C$352))</f>
        <v>73.194755721976449</v>
      </c>
      <c r="D162" s="52">
        <f ca="1">'Raw Data'!D162*($K$2/_xlfn.STDEV.P('Raw Data'!D$2:'Raw Data'!D$352)) + ($J$2-($K$2/_xlfn.STDEV.P('Raw Data'!D$2:'Raw Data'!D$352))*AVERAGE('Raw Data'!D$2:'Raw Data'!D$352))</f>
        <v>71.67</v>
      </c>
      <c r="E162" s="52" t="str">
        <f ca="1">IFERROR($J$4+('Raw Data'!H162-MIN('Raw Data'!H$2:'Raw Data'!H$352))*($J$3-$J$4)/(MAX('Raw Data'!H$2:'Raw Data'!H$352)-MIN('Raw Data'!H$2:'Raw Data'!H$352)),"")</f>
        <v/>
      </c>
      <c r="F162" s="52" t="str">
        <f ca="1">IFERROR($J$4+('Raw Data'!I162-MIN('Raw Data'!I$2:'Raw Data'!I$352))*($J$3-$J$4)/(MAX('Raw Data'!I$2:'Raw Data'!I$352)-MIN('Raw Data'!I$2:'Raw Data'!I$352)),"")</f>
        <v/>
      </c>
      <c r="G162" s="52">
        <f ca="1">IF(Bracket!$I$1="Composite",AVERAGE(B162:F162),IF(Bracket!$I$1="Kenpom",B162,IF(Bracket!$I$1="PVA",C162,IF(Bracket!$I$1="Sagarin Predictor",D162,IF(Bracket!$I$1="No Preseason",AVERAGE(B162:D162),"")))))</f>
        <v>72.18046289191112</v>
      </c>
      <c r="H162" s="63">
        <f t="shared" ca="1" si="2"/>
        <v>161</v>
      </c>
      <c r="I162" s="52"/>
      <c r="J162" s="52"/>
      <c r="K162" s="52"/>
    </row>
    <row r="163" spans="1:11" x14ac:dyDescent="0.3">
      <c r="A163" s="52" t="str">
        <f>'Raw Data'!A163</f>
        <v>Wagner</v>
      </c>
      <c r="B163" s="52">
        <f ca="1">'Raw Data'!B163*($K$2/_xlfn.STDEV.P('Raw Data'!B$2:'Raw Data'!B$352)) + ($J$2-($K$2/_xlfn.STDEV.P('Raw Data'!B$2:'Raw Data'!B$352))*AVERAGE('Raw Data'!B$2:'Raw Data'!B$352))</f>
        <v>71.92933898457872</v>
      </c>
      <c r="C163" s="52">
        <f ca="1">'Raw Data'!C163*($K$2/_xlfn.STDEV.P('Raw Data'!C$2:'Raw Data'!C$352)) + ($J$2-($K$2/_xlfn.STDEV.P('Raw Data'!C$2:'Raw Data'!C$352))*AVERAGE('Raw Data'!C$2:'Raw Data'!C$352))</f>
        <v>69.18824156180051</v>
      </c>
      <c r="D163" s="52">
        <f ca="1">'Raw Data'!D163*($K$2/_xlfn.STDEV.P('Raw Data'!D$2:'Raw Data'!D$352)) + ($J$2-($K$2/_xlfn.STDEV.P('Raw Data'!D$2:'Raw Data'!D$352))*AVERAGE('Raw Data'!D$2:'Raw Data'!D$352))</f>
        <v>69.650000000000006</v>
      </c>
      <c r="E163" s="52" t="str">
        <f ca="1">IFERROR($J$4+('Raw Data'!H163-MIN('Raw Data'!H$2:'Raw Data'!H$352))*($J$3-$J$4)/(MAX('Raw Data'!H$2:'Raw Data'!H$352)-MIN('Raw Data'!H$2:'Raw Data'!H$352)),"")</f>
        <v/>
      </c>
      <c r="F163" s="52" t="str">
        <f ca="1">IFERROR($J$4+('Raw Data'!I163-MIN('Raw Data'!I$2:'Raw Data'!I$352))*($J$3-$J$4)/(MAX('Raw Data'!I$2:'Raw Data'!I$352)-MIN('Raw Data'!I$2:'Raw Data'!I$352)),"")</f>
        <v/>
      </c>
      <c r="G163" s="52">
        <f ca="1">IF(Bracket!$I$1="Composite",AVERAGE(B163:F163),IF(Bracket!$I$1="Kenpom",B163,IF(Bracket!$I$1="PVA",C163,IF(Bracket!$I$1="Sagarin Predictor",D163,IF(Bracket!$I$1="No Preseason",AVERAGE(B163:D163),"")))))</f>
        <v>70.255860182126412</v>
      </c>
      <c r="H163" s="63">
        <f t="shared" ca="1" si="2"/>
        <v>182</v>
      </c>
      <c r="I163" s="52"/>
      <c r="J163" s="52"/>
      <c r="K163" s="52"/>
    </row>
    <row r="164" spans="1:11" x14ac:dyDescent="0.3">
      <c r="A164" s="52" t="str">
        <f>'Raw Data'!A164</f>
        <v>Utah State</v>
      </c>
      <c r="B164" s="52">
        <f ca="1">'Raw Data'!B164*($K$2/_xlfn.STDEV.P('Raw Data'!B$2:'Raw Data'!B$352)) + ($J$2-($K$2/_xlfn.STDEV.P('Raw Data'!B$2:'Raw Data'!B$352))*AVERAGE('Raw Data'!B$2:'Raw Data'!B$352))</f>
        <v>74.128258625909211</v>
      </c>
      <c r="C164" s="52">
        <f ca="1">'Raw Data'!C164*($K$2/_xlfn.STDEV.P('Raw Data'!C$2:'Raw Data'!C$352)) + ($J$2-($K$2/_xlfn.STDEV.P('Raw Data'!C$2:'Raw Data'!C$352))*AVERAGE('Raw Data'!C$2:'Raw Data'!C$352))</f>
        <v>73.453240506503931</v>
      </c>
      <c r="D164" s="52">
        <f ca="1">'Raw Data'!D164*($K$2/_xlfn.STDEV.P('Raw Data'!D$2:'Raw Data'!D$352)) + ($J$2-($K$2/_xlfn.STDEV.P('Raw Data'!D$2:'Raw Data'!D$352))*AVERAGE('Raw Data'!D$2:'Raw Data'!D$352))</f>
        <v>74.33</v>
      </c>
      <c r="E164" s="52" t="str">
        <f ca="1">IFERROR($J$4+('Raw Data'!H164-MIN('Raw Data'!H$2:'Raw Data'!H$352))*($J$3-$J$4)/(MAX('Raw Data'!H$2:'Raw Data'!H$352)-MIN('Raw Data'!H$2:'Raw Data'!H$352)),"")</f>
        <v/>
      </c>
      <c r="F164" s="52" t="str">
        <f ca="1">IFERROR($J$4+('Raw Data'!I164-MIN('Raw Data'!I$2:'Raw Data'!I$352))*($J$3-$J$4)/(MAX('Raw Data'!I$2:'Raw Data'!I$352)-MIN('Raw Data'!I$2:'Raw Data'!I$352)),"")</f>
        <v/>
      </c>
      <c r="G164" s="52">
        <f ca="1">IF(Bracket!$I$1="Composite",AVERAGE(B164:F164),IF(Bracket!$I$1="Kenpom",B164,IF(Bracket!$I$1="PVA",C164,IF(Bracket!$I$1="Sagarin Predictor",D164,IF(Bracket!$I$1="No Preseason",AVERAGE(B164:D164),"")))))</f>
        <v>73.97049971080439</v>
      </c>
      <c r="H164" s="63">
        <f t="shared" ca="1" si="2"/>
        <v>141</v>
      </c>
      <c r="I164" s="52"/>
      <c r="J164" s="52"/>
      <c r="K164" s="52"/>
    </row>
    <row r="165" spans="1:11" x14ac:dyDescent="0.3">
      <c r="A165" s="52" t="str">
        <f>'Raw Data'!A165</f>
        <v>Bucknell</v>
      </c>
      <c r="B165" s="52">
        <f ca="1">'Raw Data'!B165*($K$2/_xlfn.STDEV.P('Raw Data'!B$2:'Raw Data'!B$352)) + ($J$2-($K$2/_xlfn.STDEV.P('Raw Data'!B$2:'Raw Data'!B$352))*AVERAGE('Raw Data'!B$2:'Raw Data'!B$352))</f>
        <v>71.356035750475414</v>
      </c>
      <c r="C165" s="52">
        <f ca="1">'Raw Data'!C165*($K$2/_xlfn.STDEV.P('Raw Data'!C$2:'Raw Data'!C$352)) + ($J$2-($K$2/_xlfn.STDEV.P('Raw Data'!C$2:'Raw Data'!C$352))*AVERAGE('Raw Data'!C$2:'Raw Data'!C$352))</f>
        <v>70.222180699910439</v>
      </c>
      <c r="D165" s="52">
        <f ca="1">'Raw Data'!D165*($K$2/_xlfn.STDEV.P('Raw Data'!D$2:'Raw Data'!D$352)) + ($J$2-($K$2/_xlfn.STDEV.P('Raw Data'!D$2:'Raw Data'!D$352))*AVERAGE('Raw Data'!D$2:'Raw Data'!D$352))</f>
        <v>71.959999999999994</v>
      </c>
      <c r="E165" s="52" t="str">
        <f ca="1">IFERROR($J$4+('Raw Data'!H165-MIN('Raw Data'!H$2:'Raw Data'!H$352))*($J$3-$J$4)/(MAX('Raw Data'!H$2:'Raw Data'!H$352)-MIN('Raw Data'!H$2:'Raw Data'!H$352)),"")</f>
        <v/>
      </c>
      <c r="F165" s="52" t="str">
        <f ca="1">IFERROR($J$4+('Raw Data'!I165-MIN('Raw Data'!I$2:'Raw Data'!I$352))*($J$3-$J$4)/(MAX('Raw Data'!I$2:'Raw Data'!I$352)-MIN('Raw Data'!I$2:'Raw Data'!I$352)),"")</f>
        <v/>
      </c>
      <c r="G165" s="52">
        <f ca="1">IF(Bracket!$I$1="Composite",AVERAGE(B165:F165),IF(Bracket!$I$1="Kenpom",B165,IF(Bracket!$I$1="PVA",C165,IF(Bracket!$I$1="Sagarin Predictor",D165,IF(Bracket!$I$1="No Preseason",AVERAGE(B165:D165),"")))))</f>
        <v>71.179405483461949</v>
      </c>
      <c r="H165" s="63">
        <f t="shared" ca="1" si="2"/>
        <v>167</v>
      </c>
      <c r="I165" s="52"/>
      <c r="J165" s="52"/>
      <c r="K165" s="52"/>
    </row>
    <row r="166" spans="1:11" x14ac:dyDescent="0.3">
      <c r="A166" s="52" t="str">
        <f>'Raw Data'!A166</f>
        <v>Detroit</v>
      </c>
      <c r="B166" s="52">
        <f ca="1">'Raw Data'!B166*($K$2/_xlfn.STDEV.P('Raw Data'!B$2:'Raw Data'!B$352)) + ($J$2-($K$2/_xlfn.STDEV.P('Raw Data'!B$2:'Raw Data'!B$352))*AVERAGE('Raw Data'!B$2:'Raw Data'!B$352))</f>
        <v>71.22779686916283</v>
      </c>
      <c r="C166" s="52">
        <f ca="1">'Raw Data'!C166*($K$2/_xlfn.STDEV.P('Raw Data'!C$2:'Raw Data'!C$352)) + ($J$2-($K$2/_xlfn.STDEV.P('Raw Data'!C$2:'Raw Data'!C$352))*AVERAGE('Raw Data'!C$2:'Raw Data'!C$352))</f>
        <v>71.385362230284088</v>
      </c>
      <c r="D166" s="52">
        <f ca="1">'Raw Data'!D166*($K$2/_xlfn.STDEV.P('Raw Data'!D$2:'Raw Data'!D$352)) + ($J$2-($K$2/_xlfn.STDEV.P('Raw Data'!D$2:'Raw Data'!D$352))*AVERAGE('Raw Data'!D$2:'Raw Data'!D$352))</f>
        <v>70.180000000000007</v>
      </c>
      <c r="E166" s="52" t="str">
        <f ca="1">IFERROR($J$4+('Raw Data'!H166-MIN('Raw Data'!H$2:'Raw Data'!H$352))*($J$3-$J$4)/(MAX('Raw Data'!H$2:'Raw Data'!H$352)-MIN('Raw Data'!H$2:'Raw Data'!H$352)),"")</f>
        <v/>
      </c>
      <c r="F166" s="52" t="str">
        <f ca="1">IFERROR($J$4+('Raw Data'!I166-MIN('Raw Data'!I$2:'Raw Data'!I$352))*($J$3-$J$4)/(MAX('Raw Data'!I$2:'Raw Data'!I$352)-MIN('Raw Data'!I$2:'Raw Data'!I$352)),"")</f>
        <v/>
      </c>
      <c r="G166" s="52">
        <f ca="1">IF(Bracket!$I$1="Composite",AVERAGE(B166:F166),IF(Bracket!$I$1="Kenpom",B166,IF(Bracket!$I$1="PVA",C166,IF(Bracket!$I$1="Sagarin Predictor",D166,IF(Bracket!$I$1="No Preseason",AVERAGE(B166:D166),"")))))</f>
        <v>70.931053033148984</v>
      </c>
      <c r="H166" s="63">
        <f t="shared" ca="1" si="2"/>
        <v>175</v>
      </c>
      <c r="I166" s="52"/>
      <c r="J166" s="52"/>
      <c r="K166" s="52"/>
    </row>
    <row r="167" spans="1:11" x14ac:dyDescent="0.3">
      <c r="A167" s="52" t="str">
        <f>'Raw Data'!A167</f>
        <v>Lehigh</v>
      </c>
      <c r="B167" s="52">
        <f ca="1">'Raw Data'!B167*($K$2/_xlfn.STDEV.P('Raw Data'!B$2:'Raw Data'!B$352)) + ($J$2-($K$2/_xlfn.STDEV.P('Raw Data'!B$2:'Raw Data'!B$352))*AVERAGE('Raw Data'!B$2:'Raw Data'!B$352))</f>
        <v>71.220253405556207</v>
      </c>
      <c r="C167" s="52">
        <f ca="1">'Raw Data'!C167*($K$2/_xlfn.STDEV.P('Raw Data'!C$2:'Raw Data'!C$352)) + ($J$2-($K$2/_xlfn.STDEV.P('Raw Data'!C$2:'Raw Data'!C$352))*AVERAGE('Raw Data'!C$2:'Raw Data'!C$352))</f>
        <v>69.058999169536776</v>
      </c>
      <c r="D167" s="52">
        <f ca="1">'Raw Data'!D167*($K$2/_xlfn.STDEV.P('Raw Data'!D$2:'Raw Data'!D$352)) + ($J$2-($K$2/_xlfn.STDEV.P('Raw Data'!D$2:'Raw Data'!D$352))*AVERAGE('Raw Data'!D$2:'Raw Data'!D$352))</f>
        <v>69.69</v>
      </c>
      <c r="E167" s="52" t="str">
        <f ca="1">IFERROR($J$4+('Raw Data'!H167-MIN('Raw Data'!H$2:'Raw Data'!H$352))*($J$3-$J$4)/(MAX('Raw Data'!H$2:'Raw Data'!H$352)-MIN('Raw Data'!H$2:'Raw Data'!H$352)),"")</f>
        <v/>
      </c>
      <c r="F167" s="52" t="str">
        <f ca="1">IFERROR($J$4+('Raw Data'!I167-MIN('Raw Data'!I$2:'Raw Data'!I$352))*($J$3-$J$4)/(MAX('Raw Data'!I$2:'Raw Data'!I$352)-MIN('Raw Data'!I$2:'Raw Data'!I$352)),"")</f>
        <v/>
      </c>
      <c r="G167" s="52">
        <f ca="1">IF(Bracket!$I$1="Composite",AVERAGE(B167:F167),IF(Bracket!$I$1="Kenpom",B167,IF(Bracket!$I$1="PVA",C167,IF(Bracket!$I$1="Sagarin Predictor",D167,IF(Bracket!$I$1="No Preseason",AVERAGE(B167:D167),"")))))</f>
        <v>69.989750858364332</v>
      </c>
      <c r="H167" s="63">
        <f t="shared" ca="1" si="2"/>
        <v>187</v>
      </c>
      <c r="I167" s="52"/>
      <c r="J167" s="52"/>
      <c r="K167" s="52"/>
    </row>
    <row r="168" spans="1:11" x14ac:dyDescent="0.3">
      <c r="A168" s="52" t="str">
        <f>'Raw Data'!A168</f>
        <v>Minnesota</v>
      </c>
      <c r="B168" s="52">
        <f ca="1">'Raw Data'!B168*($K$2/_xlfn.STDEV.P('Raw Data'!B$2:'Raw Data'!B$352)) + ($J$2-($K$2/_xlfn.STDEV.P('Raw Data'!B$2:'Raw Data'!B$352))*AVERAGE('Raw Data'!B$2:'Raw Data'!B$352))</f>
        <v>66.818642391091899</v>
      </c>
      <c r="C168" s="52">
        <f ca="1">'Raw Data'!C168*($K$2/_xlfn.STDEV.P('Raw Data'!C$2:'Raw Data'!C$352)) + ($J$2-($K$2/_xlfn.STDEV.P('Raw Data'!C$2:'Raw Data'!C$352))*AVERAGE('Raw Data'!C$2:'Raw Data'!C$352))</f>
        <v>71.256119838020354</v>
      </c>
      <c r="D168" s="52">
        <f ca="1">'Raw Data'!D168*($K$2/_xlfn.STDEV.P('Raw Data'!D$2:'Raw Data'!D$352)) + ($J$2-($K$2/_xlfn.STDEV.P('Raw Data'!D$2:'Raw Data'!D$352))*AVERAGE('Raw Data'!D$2:'Raw Data'!D$352))</f>
        <v>71.489999999999995</v>
      </c>
      <c r="E168" s="52" t="str">
        <f ca="1">IFERROR($J$4+('Raw Data'!H168-MIN('Raw Data'!H$2:'Raw Data'!H$352))*($J$3-$J$4)/(MAX('Raw Data'!H$2:'Raw Data'!H$352)-MIN('Raw Data'!H$2:'Raw Data'!H$352)),"")</f>
        <v/>
      </c>
      <c r="F168" s="52" t="str">
        <f ca="1">IFERROR($J$4+('Raw Data'!I168-MIN('Raw Data'!I$2:'Raw Data'!I$352))*($J$3-$J$4)/(MAX('Raw Data'!I$2:'Raw Data'!I$352)-MIN('Raw Data'!I$2:'Raw Data'!I$352)),"")</f>
        <v/>
      </c>
      <c r="G168" s="52">
        <f ca="1">IF(Bracket!$I$1="Composite",AVERAGE(B168:F168),IF(Bracket!$I$1="Kenpom",B168,IF(Bracket!$I$1="PVA",C168,IF(Bracket!$I$1="Sagarin Predictor",D168,IF(Bracket!$I$1="No Preseason",AVERAGE(B168:D168),"")))))</f>
        <v>69.854920743037425</v>
      </c>
      <c r="H168" s="63">
        <f t="shared" ca="1" si="2"/>
        <v>189</v>
      </c>
      <c r="I168" s="52"/>
      <c r="J168" s="52"/>
      <c r="K168" s="52"/>
    </row>
    <row r="169" spans="1:11" x14ac:dyDescent="0.3">
      <c r="A169" s="52" t="str">
        <f>'Raw Data'!A169</f>
        <v>Tennessee St</v>
      </c>
      <c r="B169" s="52">
        <f ca="1">'Raw Data'!B169*($K$2/_xlfn.STDEV.P('Raw Data'!B$2:'Raw Data'!B$352)) + ($J$2-($K$2/_xlfn.STDEV.P('Raw Data'!B$2:'Raw Data'!B$352))*AVERAGE('Raw Data'!B$2:'Raw Data'!B$352))</f>
        <v>71.748295858019787</v>
      </c>
      <c r="C169" s="52">
        <f ca="1">'Raw Data'!C169*($K$2/_xlfn.STDEV.P('Raw Data'!C$2:'Raw Data'!C$352)) + ($J$2-($K$2/_xlfn.STDEV.P('Raw Data'!C$2:'Raw Data'!C$352))*AVERAGE('Raw Data'!C$2:'Raw Data'!C$352))</f>
        <v>70.868392661229137</v>
      </c>
      <c r="D169" s="52">
        <f ca="1">'Raw Data'!D169*($K$2/_xlfn.STDEV.P('Raw Data'!D$2:'Raw Data'!D$352)) + ($J$2-($K$2/_xlfn.STDEV.P('Raw Data'!D$2:'Raw Data'!D$352))*AVERAGE('Raw Data'!D$2:'Raw Data'!D$352))</f>
        <v>70.790000000000006</v>
      </c>
      <c r="E169" s="52" t="str">
        <f ca="1">IFERROR($J$4+('Raw Data'!H169-MIN('Raw Data'!H$2:'Raw Data'!H$352))*($J$3-$J$4)/(MAX('Raw Data'!H$2:'Raw Data'!H$352)-MIN('Raw Data'!H$2:'Raw Data'!H$352)),"")</f>
        <v/>
      </c>
      <c r="F169" s="52" t="str">
        <f ca="1">IFERROR($J$4+('Raw Data'!I169-MIN('Raw Data'!I$2:'Raw Data'!I$352))*($J$3-$J$4)/(MAX('Raw Data'!I$2:'Raw Data'!I$352)-MIN('Raw Data'!I$2:'Raw Data'!I$352)),"")</f>
        <v/>
      </c>
      <c r="G169" s="52">
        <f ca="1">IF(Bracket!$I$1="Composite",AVERAGE(B169:F169),IF(Bracket!$I$1="Kenpom",B169,IF(Bracket!$I$1="PVA",C169,IF(Bracket!$I$1="Sagarin Predictor",D169,IF(Bracket!$I$1="No Preseason",AVERAGE(B169:D169),"")))))</f>
        <v>71.135562839749639</v>
      </c>
      <c r="H169" s="63">
        <f t="shared" ca="1" si="2"/>
        <v>172</v>
      </c>
      <c r="I169" s="52"/>
      <c r="J169" s="52"/>
      <c r="K169" s="52"/>
    </row>
    <row r="170" spans="1:11" x14ac:dyDescent="0.3">
      <c r="A170" s="52" t="str">
        <f>'Raw Data'!A170</f>
        <v>Wyoming</v>
      </c>
      <c r="B170" s="52">
        <f ca="1">'Raw Data'!B170*($K$2/_xlfn.STDEV.P('Raw Data'!B$2:'Raw Data'!B$352)) + ($J$2-($K$2/_xlfn.STDEV.P('Raw Data'!B$2:'Raw Data'!B$352))*AVERAGE('Raw Data'!B$2:'Raw Data'!B$352))</f>
        <v>70.631863244239639</v>
      </c>
      <c r="C170" s="52">
        <f ca="1">'Raw Data'!C170*($K$2/_xlfn.STDEV.P('Raw Data'!C$2:'Raw Data'!C$352)) + ($J$2-($K$2/_xlfn.STDEV.P('Raw Data'!C$2:'Raw Data'!C$352))*AVERAGE('Raw Data'!C$2:'Raw Data'!C$352))</f>
        <v>70.739150268965389</v>
      </c>
      <c r="D170" s="52">
        <f ca="1">'Raw Data'!D170*($K$2/_xlfn.STDEV.P('Raw Data'!D$2:'Raw Data'!D$352)) + ($J$2-($K$2/_xlfn.STDEV.P('Raw Data'!D$2:'Raw Data'!D$352))*AVERAGE('Raw Data'!D$2:'Raw Data'!D$352))</f>
        <v>71.599999999999994</v>
      </c>
      <c r="E170" s="52" t="str">
        <f ca="1">IFERROR($J$4+('Raw Data'!H170-MIN('Raw Data'!H$2:'Raw Data'!H$352))*($J$3-$J$4)/(MAX('Raw Data'!H$2:'Raw Data'!H$352)-MIN('Raw Data'!H$2:'Raw Data'!H$352)),"")</f>
        <v/>
      </c>
      <c r="F170" s="52" t="str">
        <f ca="1">IFERROR($J$4+('Raw Data'!I170-MIN('Raw Data'!I$2:'Raw Data'!I$352))*($J$3-$J$4)/(MAX('Raw Data'!I$2:'Raw Data'!I$352)-MIN('Raw Data'!I$2:'Raw Data'!I$352)),"")</f>
        <v/>
      </c>
      <c r="G170" s="52">
        <f ca="1">IF(Bracket!$I$1="Composite",AVERAGE(B170:F170),IF(Bracket!$I$1="Kenpom",B170,IF(Bracket!$I$1="PVA",C170,IF(Bracket!$I$1="Sagarin Predictor",D170,IF(Bracket!$I$1="No Preseason",AVERAGE(B170:D170),"")))))</f>
        <v>70.990337837734998</v>
      </c>
      <c r="H170" s="63">
        <f t="shared" ca="1" si="2"/>
        <v>174</v>
      </c>
      <c r="I170" s="52"/>
      <c r="J170" s="52"/>
      <c r="K170" s="52"/>
    </row>
    <row r="171" spans="1:11" x14ac:dyDescent="0.3">
      <c r="A171" s="52" t="str">
        <f>'Raw Data'!A171</f>
        <v>Texas Southern</v>
      </c>
      <c r="B171" s="52">
        <f ca="1">'Raw Data'!B171*($K$2/_xlfn.STDEV.P('Raw Data'!B$2:'Raw Data'!B$352)) + ($J$2-($K$2/_xlfn.STDEV.P('Raw Data'!B$2:'Raw Data'!B$352))*AVERAGE('Raw Data'!B$2:'Raw Data'!B$352))</f>
        <v>71.035438547193948</v>
      </c>
      <c r="C171" s="52">
        <f ca="1">'Raw Data'!C171*($K$2/_xlfn.STDEV.P('Raw Data'!C$2:'Raw Data'!C$352)) + ($J$2-($K$2/_xlfn.STDEV.P('Raw Data'!C$2:'Raw Data'!C$352))*AVERAGE('Raw Data'!C$2:'Raw Data'!C$352))</f>
        <v>69.18824156180051</v>
      </c>
      <c r="D171" s="52">
        <f ca="1">'Raw Data'!D171*($K$2/_xlfn.STDEV.P('Raw Data'!D$2:'Raw Data'!D$352)) + ($J$2-($K$2/_xlfn.STDEV.P('Raw Data'!D$2:'Raw Data'!D$352))*AVERAGE('Raw Data'!D$2:'Raw Data'!D$352))</f>
        <v>69.489999999999995</v>
      </c>
      <c r="E171" s="52" t="str">
        <f ca="1">IFERROR($J$4+('Raw Data'!H171-MIN('Raw Data'!H$2:'Raw Data'!H$352))*($J$3-$J$4)/(MAX('Raw Data'!H$2:'Raw Data'!H$352)-MIN('Raw Data'!H$2:'Raw Data'!H$352)),"")</f>
        <v/>
      </c>
      <c r="F171" s="52" t="str">
        <f ca="1">IFERROR($J$4+('Raw Data'!I171-MIN('Raw Data'!I$2:'Raw Data'!I$352))*($J$3-$J$4)/(MAX('Raw Data'!I$2:'Raw Data'!I$352)-MIN('Raw Data'!I$2:'Raw Data'!I$352)),"")</f>
        <v/>
      </c>
      <c r="G171" s="52">
        <f ca="1">IF(Bracket!$I$1="Composite",AVERAGE(B171:F171),IF(Bracket!$I$1="Kenpom",B171,IF(Bracket!$I$1="PVA",C171,IF(Bracket!$I$1="Sagarin Predictor",D171,IF(Bracket!$I$1="No Preseason",AVERAGE(B171:D171),"")))))</f>
        <v>69.904560036331489</v>
      </c>
      <c r="H171" s="63">
        <f t="shared" ca="1" si="2"/>
        <v>188</v>
      </c>
      <c r="I171" s="52"/>
      <c r="J171" s="52"/>
      <c r="K171" s="52"/>
    </row>
    <row r="172" spans="1:11" x14ac:dyDescent="0.3">
      <c r="A172" s="52" t="str">
        <f>'Raw Data'!A172</f>
        <v>Murray State</v>
      </c>
      <c r="B172" s="52">
        <f ca="1">'Raw Data'!B172*($K$2/_xlfn.STDEV.P('Raw Data'!B$2:'Raw Data'!B$352)) + ($J$2-($K$2/_xlfn.STDEV.P('Raw Data'!B$2:'Raw Data'!B$352))*AVERAGE('Raw Data'!B$2:'Raw Data'!B$352))</f>
        <v>72.019860547858201</v>
      </c>
      <c r="C172" s="52">
        <f ca="1">'Raw Data'!C172*($K$2/_xlfn.STDEV.P('Raw Data'!C$2:'Raw Data'!C$352)) + ($J$2-($K$2/_xlfn.STDEV.P('Raw Data'!C$2:'Raw Data'!C$352))*AVERAGE('Raw Data'!C$2:'Raw Data'!C$352))</f>
        <v>71.256119838020354</v>
      </c>
      <c r="D172" s="52">
        <f ca="1">'Raw Data'!D172*($K$2/_xlfn.STDEV.P('Raw Data'!D$2:'Raw Data'!D$352)) + ($J$2-($K$2/_xlfn.STDEV.P('Raw Data'!D$2:'Raw Data'!D$352))*AVERAGE('Raw Data'!D$2:'Raw Data'!D$352))</f>
        <v>71.31</v>
      </c>
      <c r="E172" s="52" t="str">
        <f ca="1">IFERROR($J$4+('Raw Data'!H172-MIN('Raw Data'!H$2:'Raw Data'!H$352))*($J$3-$J$4)/(MAX('Raw Data'!H$2:'Raw Data'!H$352)-MIN('Raw Data'!H$2:'Raw Data'!H$352)),"")</f>
        <v/>
      </c>
      <c r="F172" s="52" t="str">
        <f ca="1">IFERROR($J$4+('Raw Data'!I172-MIN('Raw Data'!I$2:'Raw Data'!I$352))*($J$3-$J$4)/(MAX('Raw Data'!I$2:'Raw Data'!I$352)-MIN('Raw Data'!I$2:'Raw Data'!I$352)),"")</f>
        <v/>
      </c>
      <c r="G172" s="52">
        <f ca="1">IF(Bracket!$I$1="Composite",AVERAGE(B172:F172),IF(Bracket!$I$1="Kenpom",B172,IF(Bracket!$I$1="PVA",C172,IF(Bracket!$I$1="Sagarin Predictor",D172,IF(Bracket!$I$1="No Preseason",AVERAGE(B172:D172),"")))))</f>
        <v>71.528660128626186</v>
      </c>
      <c r="H172" s="63">
        <f t="shared" ca="1" si="2"/>
        <v>164</v>
      </c>
      <c r="I172" s="52"/>
      <c r="J172" s="52"/>
      <c r="K172" s="52"/>
    </row>
    <row r="173" spans="1:11" x14ac:dyDescent="0.3">
      <c r="A173" s="52" t="str">
        <f>'Raw Data'!A173</f>
        <v>Oral Roberts</v>
      </c>
      <c r="B173" s="52">
        <f ca="1">'Raw Data'!B173*($K$2/_xlfn.STDEV.P('Raw Data'!B$2:'Raw Data'!B$352)) + ($J$2-($K$2/_xlfn.STDEV.P('Raw Data'!B$2:'Raw Data'!B$352))*AVERAGE('Raw Data'!B$2:'Raw Data'!B$352))</f>
        <v>71.186307819326402</v>
      </c>
      <c r="C173" s="52">
        <f ca="1">'Raw Data'!C173*($K$2/_xlfn.STDEV.P('Raw Data'!C$2:'Raw Data'!C$352)) + ($J$2-($K$2/_xlfn.STDEV.P('Raw Data'!C$2:'Raw Data'!C$352))*AVERAGE('Raw Data'!C$2:'Raw Data'!C$352))</f>
        <v>70.609907876701655</v>
      </c>
      <c r="D173" s="52">
        <f ca="1">'Raw Data'!D173*($K$2/_xlfn.STDEV.P('Raw Data'!D$2:'Raw Data'!D$352)) + ($J$2-($K$2/_xlfn.STDEV.P('Raw Data'!D$2:'Raw Data'!D$352))*AVERAGE('Raw Data'!D$2:'Raw Data'!D$352))</f>
        <v>70.5</v>
      </c>
      <c r="E173" s="52" t="str">
        <f ca="1">IFERROR($J$4+('Raw Data'!H173-MIN('Raw Data'!H$2:'Raw Data'!H$352))*($J$3-$J$4)/(MAX('Raw Data'!H$2:'Raw Data'!H$352)-MIN('Raw Data'!H$2:'Raw Data'!H$352)),"")</f>
        <v/>
      </c>
      <c r="F173" s="52" t="str">
        <f ca="1">IFERROR($J$4+('Raw Data'!I173-MIN('Raw Data'!I$2:'Raw Data'!I$352))*($J$3-$J$4)/(MAX('Raw Data'!I$2:'Raw Data'!I$352)-MIN('Raw Data'!I$2:'Raw Data'!I$352)),"")</f>
        <v/>
      </c>
      <c r="G173" s="52">
        <f ca="1">IF(Bracket!$I$1="Composite",AVERAGE(B173:F173),IF(Bracket!$I$1="Kenpom",B173,IF(Bracket!$I$1="PVA",C173,IF(Bracket!$I$1="Sagarin Predictor",D173,IF(Bracket!$I$1="No Preseason",AVERAGE(B173:D173),"")))))</f>
        <v>70.765405232009357</v>
      </c>
      <c r="H173" s="63">
        <f t="shared" ca="1" si="2"/>
        <v>177</v>
      </c>
      <c r="I173" s="52"/>
      <c r="J173" s="52"/>
      <c r="K173" s="52"/>
    </row>
    <row r="174" spans="1:11" x14ac:dyDescent="0.3">
      <c r="A174" s="52" t="str">
        <f>'Raw Data'!A174</f>
        <v>Colorado State</v>
      </c>
      <c r="B174" s="52">
        <f ca="1">'Raw Data'!B174*($K$2/_xlfn.STDEV.P('Raw Data'!B$2:'Raw Data'!B$352)) + ($J$2-($K$2/_xlfn.STDEV.P('Raw Data'!B$2:'Raw Data'!B$352))*AVERAGE('Raw Data'!B$2:'Raw Data'!B$352))</f>
        <v>72.615794172781392</v>
      </c>
      <c r="C174" s="52">
        <f ca="1">'Raw Data'!C174*($K$2/_xlfn.STDEV.P('Raw Data'!C$2:'Raw Data'!C$352)) + ($J$2-($K$2/_xlfn.STDEV.P('Raw Data'!C$2:'Raw Data'!C$352))*AVERAGE('Raw Data'!C$2:'Raw Data'!C$352))</f>
        <v>73.453240506503931</v>
      </c>
      <c r="D174" s="52">
        <f ca="1">'Raw Data'!D174*($K$2/_xlfn.STDEV.P('Raw Data'!D$2:'Raw Data'!D$352)) + ($J$2-($K$2/_xlfn.STDEV.P('Raw Data'!D$2:'Raw Data'!D$352))*AVERAGE('Raw Data'!D$2:'Raw Data'!D$352))</f>
        <v>73.5</v>
      </c>
      <c r="E174" s="52" t="str">
        <f ca="1">IFERROR($J$4+('Raw Data'!H174-MIN('Raw Data'!H$2:'Raw Data'!H$352))*($J$3-$J$4)/(MAX('Raw Data'!H$2:'Raw Data'!H$352)-MIN('Raw Data'!H$2:'Raw Data'!H$352)),"")</f>
        <v/>
      </c>
      <c r="F174" s="52" t="str">
        <f ca="1">IFERROR($J$4+('Raw Data'!I174-MIN('Raw Data'!I$2:'Raw Data'!I$352))*($J$3-$J$4)/(MAX('Raw Data'!I$2:'Raw Data'!I$352)-MIN('Raw Data'!I$2:'Raw Data'!I$352)),"")</f>
        <v/>
      </c>
      <c r="G174" s="52">
        <f ca="1">IF(Bracket!$I$1="Composite",AVERAGE(B174:F174),IF(Bracket!$I$1="Kenpom",B174,IF(Bracket!$I$1="PVA",C174,IF(Bracket!$I$1="Sagarin Predictor",D174,IF(Bracket!$I$1="No Preseason",AVERAGE(B174:D174),"")))))</f>
        <v>73.189678226428441</v>
      </c>
      <c r="H174" s="63">
        <f t="shared" ca="1" si="2"/>
        <v>145</v>
      </c>
      <c r="I174" s="52"/>
      <c r="J174" s="52"/>
      <c r="K174" s="52"/>
    </row>
    <row r="175" spans="1:11" x14ac:dyDescent="0.3">
      <c r="A175" s="52" t="str">
        <f>'Raw Data'!A175</f>
        <v>Furman</v>
      </c>
      <c r="B175" s="52">
        <f ca="1">'Raw Data'!B175*($K$2/_xlfn.STDEV.P('Raw Data'!B$2:'Raw Data'!B$352)) + ($J$2-($K$2/_xlfn.STDEV.P('Raw Data'!B$2:'Raw Data'!B$352))*AVERAGE('Raw Data'!B$2:'Raw Data'!B$352))</f>
        <v>71.518220218017802</v>
      </c>
      <c r="C175" s="52">
        <f ca="1">'Raw Data'!C175*($K$2/_xlfn.STDEV.P('Raw Data'!C$2:'Raw Data'!C$352)) + ($J$2-($K$2/_xlfn.STDEV.P('Raw Data'!C$2:'Raw Data'!C$352))*AVERAGE('Raw Data'!C$2:'Raw Data'!C$352))</f>
        <v>71.256119838020354</v>
      </c>
      <c r="D175" s="52">
        <f ca="1">'Raw Data'!D175*($K$2/_xlfn.STDEV.P('Raw Data'!D$2:'Raw Data'!D$352)) + ($J$2-($K$2/_xlfn.STDEV.P('Raw Data'!D$2:'Raw Data'!D$352))*AVERAGE('Raw Data'!D$2:'Raw Data'!D$352))</f>
        <v>69.94</v>
      </c>
      <c r="E175" s="52" t="str">
        <f ca="1">IFERROR($J$4+('Raw Data'!H175-MIN('Raw Data'!H$2:'Raw Data'!H$352))*($J$3-$J$4)/(MAX('Raw Data'!H$2:'Raw Data'!H$352)-MIN('Raw Data'!H$2:'Raw Data'!H$352)),"")</f>
        <v/>
      </c>
      <c r="F175" s="52" t="str">
        <f ca="1">IFERROR($J$4+('Raw Data'!I175-MIN('Raw Data'!I$2:'Raw Data'!I$352))*($J$3-$J$4)/(MAX('Raw Data'!I$2:'Raw Data'!I$352)-MIN('Raw Data'!I$2:'Raw Data'!I$352)),"")</f>
        <v/>
      </c>
      <c r="G175" s="52">
        <f ca="1">IF(Bracket!$I$1="Composite",AVERAGE(B175:F175),IF(Bracket!$I$1="Kenpom",B175,IF(Bracket!$I$1="PVA",C175,IF(Bracket!$I$1="Sagarin Predictor",D175,IF(Bracket!$I$1="No Preseason",AVERAGE(B175:D175),"")))))</f>
        <v>70.904780018679389</v>
      </c>
      <c r="H175" s="63">
        <f t="shared" ca="1" si="2"/>
        <v>176</v>
      </c>
      <c r="I175" s="52"/>
      <c r="J175" s="52"/>
      <c r="K175" s="52"/>
    </row>
    <row r="176" spans="1:11" x14ac:dyDescent="0.3">
      <c r="A176" s="52" t="str">
        <f>'Raw Data'!A176</f>
        <v>Missouri</v>
      </c>
      <c r="B176" s="52">
        <f ca="1">'Raw Data'!B176*($K$2/_xlfn.STDEV.P('Raw Data'!B$2:'Raw Data'!B$352)) + ($J$2-($K$2/_xlfn.STDEV.P('Raw Data'!B$2:'Raw Data'!B$352))*AVERAGE('Raw Data'!B$2:'Raw Data'!B$352))</f>
        <v>70.794047711782028</v>
      </c>
      <c r="C176" s="52">
        <f ca="1">'Raw Data'!C176*($K$2/_xlfn.STDEV.P('Raw Data'!C$2:'Raw Data'!C$352)) + ($J$2-($K$2/_xlfn.STDEV.P('Raw Data'!C$2:'Raw Data'!C$352))*AVERAGE('Raw Data'!C$2:'Raw Data'!C$352))</f>
        <v>72.936270937448967</v>
      </c>
      <c r="D176" s="52">
        <f ca="1">'Raw Data'!D176*($K$2/_xlfn.STDEV.P('Raw Data'!D$2:'Raw Data'!D$352)) + ($J$2-($K$2/_xlfn.STDEV.P('Raw Data'!D$2:'Raw Data'!D$352))*AVERAGE('Raw Data'!D$2:'Raw Data'!D$352))</f>
        <v>73.16</v>
      </c>
      <c r="E176" s="52" t="str">
        <f ca="1">IFERROR($J$4+('Raw Data'!H176-MIN('Raw Data'!H$2:'Raw Data'!H$352))*($J$3-$J$4)/(MAX('Raw Data'!H$2:'Raw Data'!H$352)-MIN('Raw Data'!H$2:'Raw Data'!H$352)),"")</f>
        <v/>
      </c>
      <c r="F176" s="52" t="str">
        <f ca="1">IFERROR($J$4+('Raw Data'!I176-MIN('Raw Data'!I$2:'Raw Data'!I$352))*($J$3-$J$4)/(MAX('Raw Data'!I$2:'Raw Data'!I$352)-MIN('Raw Data'!I$2:'Raw Data'!I$352)),"")</f>
        <v/>
      </c>
      <c r="G176" s="52">
        <f ca="1">IF(Bracket!$I$1="Composite",AVERAGE(B176:F176),IF(Bracket!$I$1="Kenpom",B176,IF(Bracket!$I$1="PVA",C176,IF(Bracket!$I$1="Sagarin Predictor",D176,IF(Bracket!$I$1="No Preseason",AVERAGE(B176:D176),"")))))</f>
        <v>72.296772883076997</v>
      </c>
      <c r="H176" s="63">
        <f t="shared" ca="1" si="2"/>
        <v>159</v>
      </c>
      <c r="I176" s="52"/>
      <c r="J176" s="52"/>
      <c r="K176" s="52"/>
    </row>
    <row r="177" spans="1:11" x14ac:dyDescent="0.3">
      <c r="A177" s="52" t="str">
        <f>'Raw Data'!A177</f>
        <v>Fordham</v>
      </c>
      <c r="B177" s="52">
        <f ca="1">'Raw Data'!B177*($K$2/_xlfn.STDEV.P('Raw Data'!B$2:'Raw Data'!B$352)) + ($J$2-($K$2/_xlfn.STDEV.P('Raw Data'!B$2:'Raw Data'!B$352))*AVERAGE('Raw Data'!B$2:'Raw Data'!B$352))</f>
        <v>70.688439221289315</v>
      </c>
      <c r="C177" s="52">
        <f ca="1">'Raw Data'!C177*($K$2/_xlfn.STDEV.P('Raw Data'!C$2:'Raw Data'!C$352)) + ($J$2-($K$2/_xlfn.STDEV.P('Raw Data'!C$2:'Raw Data'!C$352))*AVERAGE('Raw Data'!C$2:'Raw Data'!C$352))</f>
        <v>73.453240506503931</v>
      </c>
      <c r="D177" s="52">
        <f ca="1">'Raw Data'!D177*($K$2/_xlfn.STDEV.P('Raw Data'!D$2:'Raw Data'!D$352)) + ($J$2-($K$2/_xlfn.STDEV.P('Raw Data'!D$2:'Raw Data'!D$352))*AVERAGE('Raw Data'!D$2:'Raw Data'!D$352))</f>
        <v>72.5</v>
      </c>
      <c r="E177" s="52" t="str">
        <f ca="1">IFERROR($J$4+('Raw Data'!H177-MIN('Raw Data'!H$2:'Raw Data'!H$352))*($J$3-$J$4)/(MAX('Raw Data'!H$2:'Raw Data'!H$352)-MIN('Raw Data'!H$2:'Raw Data'!H$352)),"")</f>
        <v/>
      </c>
      <c r="F177" s="52" t="str">
        <f ca="1">IFERROR($J$4+('Raw Data'!I177-MIN('Raw Data'!I$2:'Raw Data'!I$352))*($J$3-$J$4)/(MAX('Raw Data'!I$2:'Raw Data'!I$352)-MIN('Raw Data'!I$2:'Raw Data'!I$352)),"")</f>
        <v/>
      </c>
      <c r="G177" s="52">
        <f ca="1">IF(Bracket!$I$1="Composite",AVERAGE(B177:F177),IF(Bracket!$I$1="Kenpom",B177,IF(Bracket!$I$1="PVA",C177,IF(Bracket!$I$1="Sagarin Predictor",D177,IF(Bracket!$I$1="No Preseason",AVERAGE(B177:D177),"")))))</f>
        <v>72.213893242597749</v>
      </c>
      <c r="H177" s="63">
        <f t="shared" ca="1" si="2"/>
        <v>160</v>
      </c>
      <c r="I177" s="52"/>
      <c r="J177" s="52"/>
      <c r="K177" s="52"/>
    </row>
    <row r="178" spans="1:11" x14ac:dyDescent="0.3">
      <c r="A178" s="52" t="str">
        <f>'Raw Data'!A178</f>
        <v>Indiana State</v>
      </c>
      <c r="B178" s="52">
        <f ca="1">'Raw Data'!B178*($K$2/_xlfn.STDEV.P('Raw Data'!B$2:'Raw Data'!B$352)) + ($J$2-($K$2/_xlfn.STDEV.P('Raw Data'!B$2:'Raw Data'!B$352))*AVERAGE('Raw Data'!B$2:'Raw Data'!B$352))</f>
        <v>70.729928271125729</v>
      </c>
      <c r="C178" s="52">
        <f ca="1">'Raw Data'!C178*($K$2/_xlfn.STDEV.P('Raw Data'!C$2:'Raw Data'!C$352)) + ($J$2-($K$2/_xlfn.STDEV.P('Raw Data'!C$2:'Raw Data'!C$352))*AVERAGE('Raw Data'!C$2:'Raw Data'!C$352))</f>
        <v>71.126877445756605</v>
      </c>
      <c r="D178" s="52">
        <f ca="1">'Raw Data'!D178*($K$2/_xlfn.STDEV.P('Raw Data'!D$2:'Raw Data'!D$352)) + ($J$2-($K$2/_xlfn.STDEV.P('Raw Data'!D$2:'Raw Data'!D$352))*AVERAGE('Raw Data'!D$2:'Raw Data'!D$352))</f>
        <v>71.67</v>
      </c>
      <c r="E178" s="52" t="str">
        <f ca="1">IFERROR($J$4+('Raw Data'!H178-MIN('Raw Data'!H$2:'Raw Data'!H$352))*($J$3-$J$4)/(MAX('Raw Data'!H$2:'Raw Data'!H$352)-MIN('Raw Data'!H$2:'Raw Data'!H$352)),"")</f>
        <v/>
      </c>
      <c r="F178" s="52" t="str">
        <f ca="1">IFERROR($J$4+('Raw Data'!I178-MIN('Raw Data'!I$2:'Raw Data'!I$352))*($J$3-$J$4)/(MAX('Raw Data'!I$2:'Raw Data'!I$352)-MIN('Raw Data'!I$2:'Raw Data'!I$352)),"")</f>
        <v/>
      </c>
      <c r="G178" s="52">
        <f ca="1">IF(Bracket!$I$1="Composite",AVERAGE(B178:F178),IF(Bracket!$I$1="Kenpom",B178,IF(Bracket!$I$1="PVA",C178,IF(Bracket!$I$1="Sagarin Predictor",D178,IF(Bracket!$I$1="No Preseason",AVERAGE(B178:D178),"")))))</f>
        <v>71.175601905627445</v>
      </c>
      <c r="H178" s="63">
        <f t="shared" ca="1" si="2"/>
        <v>168</v>
      </c>
      <c r="I178" s="52"/>
      <c r="J178" s="52"/>
      <c r="K178" s="52"/>
    </row>
    <row r="179" spans="1:11" x14ac:dyDescent="0.3">
      <c r="A179" s="52" t="str">
        <f>'Raw Data'!A179</f>
        <v>Mercer</v>
      </c>
      <c r="B179" s="52">
        <f ca="1">'Raw Data'!B179*($K$2/_xlfn.STDEV.P('Raw Data'!B$2:'Raw Data'!B$352)) + ($J$2-($K$2/_xlfn.STDEV.P('Raw Data'!B$2:'Raw Data'!B$352))*AVERAGE('Raw Data'!B$2:'Raw Data'!B$352))</f>
        <v>69.187289963571402</v>
      </c>
      <c r="C179" s="52">
        <f ca="1">'Raw Data'!C179*($K$2/_xlfn.STDEV.P('Raw Data'!C$2:'Raw Data'!C$352)) + ($J$2-($K$2/_xlfn.STDEV.P('Raw Data'!C$2:'Raw Data'!C$352))*AVERAGE('Raw Data'!C$2:'Raw Data'!C$352))</f>
        <v>71.514604622547836</v>
      </c>
      <c r="D179" s="52">
        <f ca="1">'Raw Data'!D179*($K$2/_xlfn.STDEV.P('Raw Data'!D$2:'Raw Data'!D$352)) + ($J$2-($K$2/_xlfn.STDEV.P('Raw Data'!D$2:'Raw Data'!D$352))*AVERAGE('Raw Data'!D$2:'Raw Data'!D$352))</f>
        <v>69.8</v>
      </c>
      <c r="E179" s="52" t="str">
        <f ca="1">IFERROR($J$4+('Raw Data'!H179-MIN('Raw Data'!H$2:'Raw Data'!H$352))*($J$3-$J$4)/(MAX('Raw Data'!H$2:'Raw Data'!H$352)-MIN('Raw Data'!H$2:'Raw Data'!H$352)),"")</f>
        <v/>
      </c>
      <c r="F179" s="52" t="str">
        <f ca="1">IFERROR($J$4+('Raw Data'!I179-MIN('Raw Data'!I$2:'Raw Data'!I$352))*($J$3-$J$4)/(MAX('Raw Data'!I$2:'Raw Data'!I$352)-MIN('Raw Data'!I$2:'Raw Data'!I$352)),"")</f>
        <v/>
      </c>
      <c r="G179" s="52">
        <f ca="1">IF(Bracket!$I$1="Composite",AVERAGE(B179:F179),IF(Bracket!$I$1="Kenpom",B179,IF(Bracket!$I$1="PVA",C179,IF(Bracket!$I$1="Sagarin Predictor",D179,IF(Bracket!$I$1="No Preseason",AVERAGE(B179:D179),"")))))</f>
        <v>70.167298195373078</v>
      </c>
      <c r="H179" s="63">
        <f t="shared" ca="1" si="2"/>
        <v>184</v>
      </c>
      <c r="I179" s="52"/>
      <c r="J179" s="52"/>
      <c r="K179" s="52"/>
    </row>
    <row r="180" spans="1:11" x14ac:dyDescent="0.3">
      <c r="A180" s="52" t="str">
        <f>'Raw Data'!A180</f>
        <v>Kent State</v>
      </c>
      <c r="B180" s="52">
        <f ca="1">'Raw Data'!B180*($K$2/_xlfn.STDEV.P('Raw Data'!B$2:'Raw Data'!B$352)) + ($J$2-($K$2/_xlfn.STDEV.P('Raw Data'!B$2:'Raw Data'!B$352))*AVERAGE('Raw Data'!B$2:'Raw Data'!B$352))</f>
        <v>70.496080899320432</v>
      </c>
      <c r="C180" s="52">
        <f ca="1">'Raw Data'!C180*($K$2/_xlfn.STDEV.P('Raw Data'!C$2:'Raw Data'!C$352)) + ($J$2-($K$2/_xlfn.STDEV.P('Raw Data'!C$2:'Raw Data'!C$352))*AVERAGE('Raw Data'!C$2:'Raw Data'!C$352))</f>
        <v>72.160816583866534</v>
      </c>
      <c r="D180" s="52">
        <f ca="1">'Raw Data'!D180*($K$2/_xlfn.STDEV.P('Raw Data'!D$2:'Raw Data'!D$352)) + ($J$2-($K$2/_xlfn.STDEV.P('Raw Data'!D$2:'Raw Data'!D$352))*AVERAGE('Raw Data'!D$2:'Raw Data'!D$352))</f>
        <v>70.98</v>
      </c>
      <c r="E180" s="52" t="str">
        <f ca="1">IFERROR($J$4+('Raw Data'!H180-MIN('Raw Data'!H$2:'Raw Data'!H$352))*($J$3-$J$4)/(MAX('Raw Data'!H$2:'Raw Data'!H$352)-MIN('Raw Data'!H$2:'Raw Data'!H$352)),"")</f>
        <v/>
      </c>
      <c r="F180" s="52" t="str">
        <f ca="1">IFERROR($J$4+('Raw Data'!I180-MIN('Raw Data'!I$2:'Raw Data'!I$352))*($J$3-$J$4)/(MAX('Raw Data'!I$2:'Raw Data'!I$352)-MIN('Raw Data'!I$2:'Raw Data'!I$352)),"")</f>
        <v/>
      </c>
      <c r="G180" s="52">
        <f ca="1">IF(Bracket!$I$1="Composite",AVERAGE(B180:F180),IF(Bracket!$I$1="Kenpom",B180,IF(Bracket!$I$1="PVA",C180,IF(Bracket!$I$1="Sagarin Predictor",D180,IF(Bracket!$I$1="No Preseason",AVERAGE(B180:D180),"")))))</f>
        <v>71.212299161062333</v>
      </c>
      <c r="H180" s="63">
        <f t="shared" ca="1" si="2"/>
        <v>166</v>
      </c>
      <c r="I180" s="52"/>
      <c r="J180" s="52"/>
      <c r="K180" s="52"/>
    </row>
    <row r="181" spans="1:11" x14ac:dyDescent="0.3">
      <c r="A181" s="52" t="str">
        <f>'Raw Data'!A181</f>
        <v>UMass</v>
      </c>
      <c r="B181" s="52">
        <f ca="1">'Raw Data'!B181*($K$2/_xlfn.STDEV.P('Raw Data'!B$2:'Raw Data'!B$352)) + ($J$2-($K$2/_xlfn.STDEV.P('Raw Data'!B$2:'Raw Data'!B$352))*AVERAGE('Raw Data'!B$2:'Raw Data'!B$352))</f>
        <v>70.733700002929041</v>
      </c>
      <c r="C181" s="52">
        <f ca="1">'Raw Data'!C181*($K$2/_xlfn.STDEV.P('Raw Data'!C$2:'Raw Data'!C$352)) + ($J$2-($K$2/_xlfn.STDEV.P('Raw Data'!C$2:'Raw Data'!C$352))*AVERAGE('Raw Data'!C$2:'Raw Data'!C$352))</f>
        <v>70.997635053492871</v>
      </c>
      <c r="D181" s="52">
        <f ca="1">'Raw Data'!D181*($K$2/_xlfn.STDEV.P('Raw Data'!D$2:'Raw Data'!D$352)) + ($J$2-($K$2/_xlfn.STDEV.P('Raw Data'!D$2:'Raw Data'!D$352))*AVERAGE('Raw Data'!D$2:'Raw Data'!D$352))</f>
        <v>71.790000000000006</v>
      </c>
      <c r="E181" s="52" t="str">
        <f ca="1">IFERROR($J$4+('Raw Data'!H181-MIN('Raw Data'!H$2:'Raw Data'!H$352))*($J$3-$J$4)/(MAX('Raw Data'!H$2:'Raw Data'!H$352)-MIN('Raw Data'!H$2:'Raw Data'!H$352)),"")</f>
        <v/>
      </c>
      <c r="F181" s="52" t="str">
        <f ca="1">IFERROR($J$4+('Raw Data'!I181-MIN('Raw Data'!I$2:'Raw Data'!I$352))*($J$3-$J$4)/(MAX('Raw Data'!I$2:'Raw Data'!I$352)-MIN('Raw Data'!I$2:'Raw Data'!I$352)),"")</f>
        <v/>
      </c>
      <c r="G181" s="52">
        <f ca="1">IF(Bracket!$I$1="Composite",AVERAGE(B181:F181),IF(Bracket!$I$1="Kenpom",B181,IF(Bracket!$I$1="PVA",C181,IF(Bracket!$I$1="Sagarin Predictor",D181,IF(Bracket!$I$1="No Preseason",AVERAGE(B181:D181),"")))))</f>
        <v>71.173778352140644</v>
      </c>
      <c r="H181" s="63">
        <f t="shared" ca="1" si="2"/>
        <v>169</v>
      </c>
      <c r="I181" s="52"/>
      <c r="J181" s="52"/>
      <c r="K181" s="52"/>
    </row>
    <row r="182" spans="1:11" x14ac:dyDescent="0.3">
      <c r="A182" s="52" t="str">
        <f>'Raw Data'!A182</f>
        <v>Western Kentucky</v>
      </c>
      <c r="B182" s="52">
        <f ca="1">'Raw Data'!B182*($K$2/_xlfn.STDEV.P('Raw Data'!B$2:'Raw Data'!B$352)) + ($J$2-($K$2/_xlfn.STDEV.P('Raw Data'!B$2:'Raw Data'!B$352))*AVERAGE('Raw Data'!B$2:'Raw Data'!B$352))</f>
        <v>71.865219543922436</v>
      </c>
      <c r="C182" s="52">
        <f ca="1">'Raw Data'!C182*($K$2/_xlfn.STDEV.P('Raw Data'!C$2:'Raw Data'!C$352)) + ($J$2-($K$2/_xlfn.STDEV.P('Raw Data'!C$2:'Raw Data'!C$352))*AVERAGE('Raw Data'!C$2:'Raw Data'!C$352))</f>
        <v>70.609907876701655</v>
      </c>
      <c r="D182" s="52">
        <f ca="1">'Raw Data'!D182*($K$2/_xlfn.STDEV.P('Raw Data'!D$2:'Raw Data'!D$352)) + ($J$2-($K$2/_xlfn.STDEV.P('Raw Data'!D$2:'Raw Data'!D$352))*AVERAGE('Raw Data'!D$2:'Raw Data'!D$352))</f>
        <v>71.040000000000006</v>
      </c>
      <c r="E182" s="52" t="str">
        <f ca="1">IFERROR($J$4+('Raw Data'!H182-MIN('Raw Data'!H$2:'Raw Data'!H$352))*($J$3-$J$4)/(MAX('Raw Data'!H$2:'Raw Data'!H$352)-MIN('Raw Data'!H$2:'Raw Data'!H$352)),"")</f>
        <v/>
      </c>
      <c r="F182" s="52" t="str">
        <f ca="1">IFERROR($J$4+('Raw Data'!I182-MIN('Raw Data'!I$2:'Raw Data'!I$352))*($J$3-$J$4)/(MAX('Raw Data'!I$2:'Raw Data'!I$352)-MIN('Raw Data'!I$2:'Raw Data'!I$352)),"")</f>
        <v/>
      </c>
      <c r="G182" s="52">
        <f ca="1">IF(Bracket!$I$1="Composite",AVERAGE(B182:F182),IF(Bracket!$I$1="Kenpom",B182,IF(Bracket!$I$1="PVA",C182,IF(Bracket!$I$1="Sagarin Predictor",D182,IF(Bracket!$I$1="No Preseason",AVERAGE(B182:D182),"")))))</f>
        <v>71.171709140208023</v>
      </c>
      <c r="H182" s="63">
        <f t="shared" ca="1" si="2"/>
        <v>170</v>
      </c>
      <c r="I182" s="52"/>
      <c r="J182" s="52"/>
      <c r="K182" s="52"/>
    </row>
    <row r="183" spans="1:11" x14ac:dyDescent="0.3">
      <c r="A183" s="52" t="str">
        <f>'Raw Data'!A183</f>
        <v>Tennnessee Tech</v>
      </c>
      <c r="B183" s="52">
        <f ca="1">'Raw Data'!B183*($K$2/_xlfn.STDEV.P('Raw Data'!B$2:'Raw Data'!B$352)) + ($J$2-($K$2/_xlfn.STDEV.P('Raw Data'!B$2:'Raw Data'!B$352))*AVERAGE('Raw Data'!B$2:'Raw Data'!B$352))</f>
        <v>68.802573319633652</v>
      </c>
      <c r="C183" s="52">
        <f ca="1">'Raw Data'!C183*($K$2/_xlfn.STDEV.P('Raw Data'!C$2:'Raw Data'!C$352)) + ($J$2-($K$2/_xlfn.STDEV.P('Raw Data'!C$2:'Raw Data'!C$352))*AVERAGE('Raw Data'!C$2:'Raw Data'!C$352))</f>
        <v>70.739150268965389</v>
      </c>
      <c r="D183" s="52">
        <f ca="1">'Raw Data'!D183*($K$2/_xlfn.STDEV.P('Raw Data'!D$2:'Raw Data'!D$352)) + ($J$2-($K$2/_xlfn.STDEV.P('Raw Data'!D$2:'Raw Data'!D$352))*AVERAGE('Raw Data'!D$2:'Raw Data'!D$352))</f>
        <v>69.739999999999995</v>
      </c>
      <c r="E183" s="52" t="str">
        <f ca="1">IFERROR($J$4+('Raw Data'!H183-MIN('Raw Data'!H$2:'Raw Data'!H$352))*($J$3-$J$4)/(MAX('Raw Data'!H$2:'Raw Data'!H$352)-MIN('Raw Data'!H$2:'Raw Data'!H$352)),"")</f>
        <v/>
      </c>
      <c r="F183" s="52" t="str">
        <f ca="1">IFERROR($J$4+('Raw Data'!I183-MIN('Raw Data'!I$2:'Raw Data'!I$352))*($J$3-$J$4)/(MAX('Raw Data'!I$2:'Raw Data'!I$352)-MIN('Raw Data'!I$2:'Raw Data'!I$352)),"")</f>
        <v/>
      </c>
      <c r="G183" s="52">
        <f ca="1">IF(Bracket!$I$1="Composite",AVERAGE(B183:F183),IF(Bracket!$I$1="Kenpom",B183,IF(Bracket!$I$1="PVA",C183,IF(Bracket!$I$1="Sagarin Predictor",D183,IF(Bracket!$I$1="No Preseason",AVERAGE(B183:D183),"")))))</f>
        <v>69.760574529533017</v>
      </c>
      <c r="H183" s="63">
        <f t="shared" ca="1" si="2"/>
        <v>190</v>
      </c>
      <c r="I183" s="52"/>
      <c r="J183" s="52"/>
      <c r="K183" s="52"/>
    </row>
    <row r="184" spans="1:11" x14ac:dyDescent="0.3">
      <c r="A184" s="52" t="str">
        <f>'Raw Data'!A184</f>
        <v>Wofford</v>
      </c>
      <c r="B184" s="52">
        <f ca="1">'Raw Data'!B184*($K$2/_xlfn.STDEV.P('Raw Data'!B$2:'Raw Data'!B$352)) + ($J$2-($K$2/_xlfn.STDEV.P('Raw Data'!B$2:'Raw Data'!B$352))*AVERAGE('Raw Data'!B$2:'Raw Data'!B$352))</f>
        <v>69.737962806854853</v>
      </c>
      <c r="C184" s="52">
        <f ca="1">'Raw Data'!C184*($K$2/_xlfn.STDEV.P('Raw Data'!C$2:'Raw Data'!C$352)) + ($J$2-($K$2/_xlfn.STDEV.P('Raw Data'!C$2:'Raw Data'!C$352))*AVERAGE('Raw Data'!C$2:'Raw Data'!C$352))</f>
        <v>68.800514385009294</v>
      </c>
      <c r="D184" s="52">
        <f ca="1">'Raw Data'!D184*($K$2/_xlfn.STDEV.P('Raw Data'!D$2:'Raw Data'!D$352)) + ($J$2-($K$2/_xlfn.STDEV.P('Raw Data'!D$2:'Raw Data'!D$352))*AVERAGE('Raw Data'!D$2:'Raw Data'!D$352))</f>
        <v>69.34</v>
      </c>
      <c r="E184" s="52" t="str">
        <f ca="1">IFERROR($J$4+('Raw Data'!H184-MIN('Raw Data'!H$2:'Raw Data'!H$352))*($J$3-$J$4)/(MAX('Raw Data'!H$2:'Raw Data'!H$352)-MIN('Raw Data'!H$2:'Raw Data'!H$352)),"")</f>
        <v/>
      </c>
      <c r="F184" s="52" t="str">
        <f ca="1">IFERROR($J$4+('Raw Data'!I184-MIN('Raw Data'!I$2:'Raw Data'!I$352))*($J$3-$J$4)/(MAX('Raw Data'!I$2:'Raw Data'!I$352)-MIN('Raw Data'!I$2:'Raw Data'!I$352)),"")</f>
        <v/>
      </c>
      <c r="G184" s="52">
        <f ca="1">IF(Bracket!$I$1="Composite",AVERAGE(B184:F184),IF(Bracket!$I$1="Kenpom",B184,IF(Bracket!$I$1="PVA",C184,IF(Bracket!$I$1="Sagarin Predictor",D184,IF(Bracket!$I$1="No Preseason",AVERAGE(B184:D184),"")))))</f>
        <v>69.292825730621388</v>
      </c>
      <c r="H184" s="63">
        <f t="shared" ca="1" si="2"/>
        <v>196</v>
      </c>
      <c r="I184" s="52"/>
      <c r="J184" s="52"/>
      <c r="K184" s="52"/>
    </row>
    <row r="185" spans="1:11" x14ac:dyDescent="0.3">
      <c r="A185" s="52" t="str">
        <f>'Raw Data'!A185</f>
        <v>Loyola (CHI)</v>
      </c>
      <c r="B185" s="52">
        <f ca="1">'Raw Data'!B185*($K$2/_xlfn.STDEV.P('Raw Data'!B$2:'Raw Data'!B$352)) + ($J$2-($K$2/_xlfn.STDEV.P('Raw Data'!B$2:'Raw Data'!B$352))*AVERAGE('Raw Data'!B$2:'Raw Data'!B$352))</f>
        <v>70.530026485550223</v>
      </c>
      <c r="C185" s="52">
        <f ca="1">'Raw Data'!C185*($K$2/_xlfn.STDEV.P('Raw Data'!C$2:'Raw Data'!C$352)) + ($J$2-($K$2/_xlfn.STDEV.P('Raw Data'!C$2:'Raw Data'!C$352))*AVERAGE('Raw Data'!C$2:'Raw Data'!C$352))</f>
        <v>70.222180699910439</v>
      </c>
      <c r="D185" s="52">
        <f ca="1">'Raw Data'!D185*($K$2/_xlfn.STDEV.P('Raw Data'!D$2:'Raw Data'!D$352)) + ($J$2-($K$2/_xlfn.STDEV.P('Raw Data'!D$2:'Raw Data'!D$352))*AVERAGE('Raw Data'!D$2:'Raw Data'!D$352))</f>
        <v>70.7</v>
      </c>
      <c r="E185" s="52" t="str">
        <f ca="1">IFERROR($J$4+('Raw Data'!H185-MIN('Raw Data'!H$2:'Raw Data'!H$352))*($J$3-$J$4)/(MAX('Raw Data'!H$2:'Raw Data'!H$352)-MIN('Raw Data'!H$2:'Raw Data'!H$352)),"")</f>
        <v/>
      </c>
      <c r="F185" s="52" t="str">
        <f ca="1">IFERROR($J$4+('Raw Data'!I185-MIN('Raw Data'!I$2:'Raw Data'!I$352))*($J$3-$J$4)/(MAX('Raw Data'!I$2:'Raw Data'!I$352)-MIN('Raw Data'!I$2:'Raw Data'!I$352)),"")</f>
        <v/>
      </c>
      <c r="G185" s="52">
        <f ca="1">IF(Bracket!$I$1="Composite",AVERAGE(B185:F185),IF(Bracket!$I$1="Kenpom",B185,IF(Bracket!$I$1="PVA",C185,IF(Bracket!$I$1="Sagarin Predictor",D185,IF(Bracket!$I$1="No Preseason",AVERAGE(B185:D185),"")))))</f>
        <v>70.484069061820222</v>
      </c>
      <c r="H185" s="63">
        <f t="shared" ca="1" si="2"/>
        <v>180</v>
      </c>
      <c r="I185" s="52"/>
      <c r="J185" s="52"/>
      <c r="K185" s="52"/>
    </row>
    <row r="186" spans="1:11" x14ac:dyDescent="0.3">
      <c r="A186" s="52" t="str">
        <f>'Raw Data'!A186</f>
        <v>Fairfield</v>
      </c>
      <c r="B186" s="52">
        <f ca="1">'Raw Data'!B186*($K$2/_xlfn.STDEV.P('Raw Data'!B$2:'Raw Data'!B$352)) + ($J$2-($K$2/_xlfn.STDEV.P('Raw Data'!B$2:'Raw Data'!B$352))*AVERAGE('Raw Data'!B$2:'Raw Data'!B$352))</f>
        <v>68.202867962907149</v>
      </c>
      <c r="C186" s="52">
        <f ca="1">'Raw Data'!C186*($K$2/_xlfn.STDEV.P('Raw Data'!C$2:'Raw Data'!C$352)) + ($J$2-($K$2/_xlfn.STDEV.P('Raw Data'!C$2:'Raw Data'!C$352))*AVERAGE('Raw Data'!C$2:'Raw Data'!C$352))</f>
        <v>69.058999169536776</v>
      </c>
      <c r="D186" s="52">
        <f ca="1">'Raw Data'!D186*($K$2/_xlfn.STDEV.P('Raw Data'!D$2:'Raw Data'!D$352)) + ($J$2-($K$2/_xlfn.STDEV.P('Raw Data'!D$2:'Raw Data'!D$352))*AVERAGE('Raw Data'!D$2:'Raw Data'!D$352))</f>
        <v>69.11</v>
      </c>
      <c r="E186" s="52" t="str">
        <f ca="1">IFERROR($J$4+('Raw Data'!H186-MIN('Raw Data'!H$2:'Raw Data'!H$352))*($J$3-$J$4)/(MAX('Raw Data'!H$2:'Raw Data'!H$352)-MIN('Raw Data'!H$2:'Raw Data'!H$352)),"")</f>
        <v/>
      </c>
      <c r="F186" s="52" t="str">
        <f ca="1">IFERROR($J$4+('Raw Data'!I186-MIN('Raw Data'!I$2:'Raw Data'!I$352))*($J$3-$J$4)/(MAX('Raw Data'!I$2:'Raw Data'!I$352)-MIN('Raw Data'!I$2:'Raw Data'!I$352)),"")</f>
        <v/>
      </c>
      <c r="G186" s="52">
        <f ca="1">IF(Bracket!$I$1="Composite",AVERAGE(B186:F186),IF(Bracket!$I$1="Kenpom",B186,IF(Bracket!$I$1="PVA",C186,IF(Bracket!$I$1="Sagarin Predictor",D186,IF(Bracket!$I$1="No Preseason",AVERAGE(B186:D186),"")))))</f>
        <v>68.790622377481313</v>
      </c>
      <c r="H186" s="63">
        <f t="shared" ca="1" si="2"/>
        <v>201</v>
      </c>
      <c r="I186" s="52"/>
      <c r="J186" s="52"/>
      <c r="K186" s="52"/>
    </row>
    <row r="187" spans="1:11" x14ac:dyDescent="0.3">
      <c r="A187" s="52" t="str">
        <f>'Raw Data'!A187</f>
        <v>Auburn</v>
      </c>
      <c r="B187" s="52">
        <f ca="1">'Raw Data'!B187*($K$2/_xlfn.STDEV.P('Raw Data'!B$2:'Raw Data'!B$352)) + ($J$2-($K$2/_xlfn.STDEV.P('Raw Data'!B$2:'Raw Data'!B$352))*AVERAGE('Raw Data'!B$2:'Raw Data'!B$352))</f>
        <v>67.855868637002516</v>
      </c>
      <c r="C187" s="52">
        <f ca="1">'Raw Data'!C187*($K$2/_xlfn.STDEV.P('Raw Data'!C$2:'Raw Data'!C$352)) + ($J$2-($K$2/_xlfn.STDEV.P('Raw Data'!C$2:'Raw Data'!C$352))*AVERAGE('Raw Data'!C$2:'Raw Data'!C$352))</f>
        <v>71.256119838020354</v>
      </c>
      <c r="D187" s="52">
        <f ca="1">'Raw Data'!D187*($K$2/_xlfn.STDEV.P('Raw Data'!D$2:'Raw Data'!D$352)) + ($J$2-($K$2/_xlfn.STDEV.P('Raw Data'!D$2:'Raw Data'!D$352))*AVERAGE('Raw Data'!D$2:'Raw Data'!D$352))</f>
        <v>71.11</v>
      </c>
      <c r="E187" s="52" t="str">
        <f ca="1">IFERROR($J$4+('Raw Data'!H187-MIN('Raw Data'!H$2:'Raw Data'!H$352))*($J$3-$J$4)/(MAX('Raw Data'!H$2:'Raw Data'!H$352)-MIN('Raw Data'!H$2:'Raw Data'!H$352)),"")</f>
        <v/>
      </c>
      <c r="F187" s="52" t="str">
        <f ca="1">IFERROR($J$4+('Raw Data'!I187-MIN('Raw Data'!I$2:'Raw Data'!I$352))*($J$3-$J$4)/(MAX('Raw Data'!I$2:'Raw Data'!I$352)-MIN('Raw Data'!I$2:'Raw Data'!I$352)),"")</f>
        <v/>
      </c>
      <c r="G187" s="52">
        <f ca="1">IF(Bracket!$I$1="Composite",AVERAGE(B187:F187),IF(Bracket!$I$1="Kenpom",B187,IF(Bracket!$I$1="PVA",C187,IF(Bracket!$I$1="Sagarin Predictor",D187,IF(Bracket!$I$1="No Preseason",AVERAGE(B187:D187),"")))))</f>
        <v>70.073996158340961</v>
      </c>
      <c r="H187" s="63">
        <f t="shared" ca="1" si="2"/>
        <v>185</v>
      </c>
      <c r="I187" s="52"/>
      <c r="J187" s="52"/>
      <c r="K187" s="52"/>
    </row>
    <row r="188" spans="1:11" x14ac:dyDescent="0.3">
      <c r="A188" s="52" t="str">
        <f>'Raw Data'!A188</f>
        <v>Washington St</v>
      </c>
      <c r="B188" s="52">
        <f ca="1">'Raw Data'!B188*($K$2/_xlfn.STDEV.P('Raw Data'!B$2:'Raw Data'!B$352)) + ($J$2-($K$2/_xlfn.STDEV.P('Raw Data'!B$2:'Raw Data'!B$352))*AVERAGE('Raw Data'!B$2:'Raw Data'!B$352))</f>
        <v>68.334878576023044</v>
      </c>
      <c r="C188" s="52">
        <f ca="1">'Raw Data'!C188*($K$2/_xlfn.STDEV.P('Raw Data'!C$2:'Raw Data'!C$352)) + ($J$2-($K$2/_xlfn.STDEV.P('Raw Data'!C$2:'Raw Data'!C$352))*AVERAGE('Raw Data'!C$2:'Raw Data'!C$352))</f>
        <v>70.868392661229137</v>
      </c>
      <c r="D188" s="52">
        <f ca="1">'Raw Data'!D188*($K$2/_xlfn.STDEV.P('Raw Data'!D$2:'Raw Data'!D$352)) + ($J$2-($K$2/_xlfn.STDEV.P('Raw Data'!D$2:'Raw Data'!D$352))*AVERAGE('Raw Data'!D$2:'Raw Data'!D$352))</f>
        <v>70.81</v>
      </c>
      <c r="E188" s="52" t="str">
        <f ca="1">IFERROR($J$4+('Raw Data'!H188-MIN('Raw Data'!H$2:'Raw Data'!H$352))*($J$3-$J$4)/(MAX('Raw Data'!H$2:'Raw Data'!H$352)-MIN('Raw Data'!H$2:'Raw Data'!H$352)),"")</f>
        <v/>
      </c>
      <c r="F188" s="52" t="str">
        <f ca="1">IFERROR($J$4+('Raw Data'!I188-MIN('Raw Data'!I$2:'Raw Data'!I$352))*($J$3-$J$4)/(MAX('Raw Data'!I$2:'Raw Data'!I$352)-MIN('Raw Data'!I$2:'Raw Data'!I$352)),"")</f>
        <v/>
      </c>
      <c r="G188" s="52">
        <f ca="1">IF(Bracket!$I$1="Composite",AVERAGE(B188:F188),IF(Bracket!$I$1="Kenpom",B188,IF(Bracket!$I$1="PVA",C188,IF(Bracket!$I$1="Sagarin Predictor",D188,IF(Bracket!$I$1="No Preseason",AVERAGE(B188:D188),"")))))</f>
        <v>70.004423745750728</v>
      </c>
      <c r="H188" s="63">
        <f t="shared" ca="1" si="2"/>
        <v>186</v>
      </c>
      <c r="I188" s="52"/>
      <c r="J188" s="52"/>
      <c r="K188" s="52"/>
    </row>
    <row r="189" spans="1:11" x14ac:dyDescent="0.3">
      <c r="A189" s="52" t="str">
        <f>'Raw Data'!A189</f>
        <v>Georgia State</v>
      </c>
      <c r="B189" s="52">
        <f ca="1">'Raw Data'!B189*($K$2/_xlfn.STDEV.P('Raw Data'!B$2:'Raw Data'!B$352)) + ($J$2-($K$2/_xlfn.STDEV.P('Raw Data'!B$2:'Raw Data'!B$352))*AVERAGE('Raw Data'!B$2:'Raw Data'!B$352))</f>
        <v>70.944916983914482</v>
      </c>
      <c r="C189" s="52">
        <f ca="1">'Raw Data'!C189*($K$2/_xlfn.STDEV.P('Raw Data'!C$2:'Raw Data'!C$352)) + ($J$2-($K$2/_xlfn.STDEV.P('Raw Data'!C$2:'Raw Data'!C$352))*AVERAGE('Raw Data'!C$2:'Raw Data'!C$352))</f>
        <v>70.222180699910439</v>
      </c>
      <c r="D189" s="52">
        <f ca="1">'Raw Data'!D189*($K$2/_xlfn.STDEV.P('Raw Data'!D$2:'Raw Data'!D$352)) + ($J$2-($K$2/_xlfn.STDEV.P('Raw Data'!D$2:'Raw Data'!D$352))*AVERAGE('Raw Data'!D$2:'Raw Data'!D$352))</f>
        <v>70.48</v>
      </c>
      <c r="E189" s="52" t="str">
        <f ca="1">IFERROR($J$4+('Raw Data'!H189-MIN('Raw Data'!H$2:'Raw Data'!H$352))*($J$3-$J$4)/(MAX('Raw Data'!H$2:'Raw Data'!H$352)-MIN('Raw Data'!H$2:'Raw Data'!H$352)),"")</f>
        <v/>
      </c>
      <c r="F189" s="52" t="str">
        <f ca="1">IFERROR($J$4+('Raw Data'!I189-MIN('Raw Data'!I$2:'Raw Data'!I$352))*($J$3-$J$4)/(MAX('Raw Data'!I$2:'Raw Data'!I$352)-MIN('Raw Data'!I$2:'Raw Data'!I$352)),"")</f>
        <v/>
      </c>
      <c r="G189" s="52">
        <f ca="1">IF(Bracket!$I$1="Composite",AVERAGE(B189:F189),IF(Bracket!$I$1="Kenpom",B189,IF(Bracket!$I$1="PVA",C189,IF(Bracket!$I$1="Sagarin Predictor",D189,IF(Bracket!$I$1="No Preseason",AVERAGE(B189:D189),"")))))</f>
        <v>70.549032561274984</v>
      </c>
      <c r="H189" s="63">
        <f t="shared" ca="1" si="2"/>
        <v>179</v>
      </c>
      <c r="I189" s="52"/>
      <c r="J189" s="52"/>
      <c r="K189" s="52"/>
    </row>
    <row r="190" spans="1:11" x14ac:dyDescent="0.3">
      <c r="A190" s="52" t="str">
        <f>'Raw Data'!A190</f>
        <v>Eastern Washington</v>
      </c>
      <c r="B190" s="52">
        <f ca="1">'Raw Data'!B190*($K$2/_xlfn.STDEV.P('Raw Data'!B$2:'Raw Data'!B$352)) + ($J$2-($K$2/_xlfn.STDEV.P('Raw Data'!B$2:'Raw Data'!B$352))*AVERAGE('Raw Data'!B$2:'Raw Data'!B$352))</f>
        <v>69.232550745211142</v>
      </c>
      <c r="C190" s="52">
        <f ca="1">'Raw Data'!C190*($K$2/_xlfn.STDEV.P('Raw Data'!C$2:'Raw Data'!C$352)) + ($J$2-($K$2/_xlfn.STDEV.P('Raw Data'!C$2:'Raw Data'!C$352))*AVERAGE('Raw Data'!C$2:'Raw Data'!C$352))</f>
        <v>69.058999169536776</v>
      </c>
      <c r="D190" s="52">
        <f ca="1">'Raw Data'!D190*($K$2/_xlfn.STDEV.P('Raw Data'!D$2:'Raw Data'!D$352)) + ($J$2-($K$2/_xlfn.STDEV.P('Raw Data'!D$2:'Raw Data'!D$352))*AVERAGE('Raw Data'!D$2:'Raw Data'!D$352))</f>
        <v>69.19</v>
      </c>
      <c r="E190" s="52" t="str">
        <f ca="1">IFERROR($J$4+('Raw Data'!H190-MIN('Raw Data'!H$2:'Raw Data'!H$352))*($J$3-$J$4)/(MAX('Raw Data'!H$2:'Raw Data'!H$352)-MIN('Raw Data'!H$2:'Raw Data'!H$352)),"")</f>
        <v/>
      </c>
      <c r="F190" s="52" t="str">
        <f ca="1">IFERROR($J$4+('Raw Data'!I190-MIN('Raw Data'!I$2:'Raw Data'!I$352))*($J$3-$J$4)/(MAX('Raw Data'!I$2:'Raw Data'!I$352)-MIN('Raw Data'!I$2:'Raw Data'!I$352)),"")</f>
        <v/>
      </c>
      <c r="G190" s="52">
        <f ca="1">IF(Bracket!$I$1="Composite",AVERAGE(B190:F190),IF(Bracket!$I$1="Kenpom",B190,IF(Bracket!$I$1="PVA",C190,IF(Bracket!$I$1="Sagarin Predictor",D190,IF(Bracket!$I$1="No Preseason",AVERAGE(B190:D190),"")))))</f>
        <v>69.160516638249305</v>
      </c>
      <c r="H190" s="63">
        <f t="shared" ca="1" si="2"/>
        <v>197</v>
      </c>
      <c r="I190" s="52"/>
      <c r="J190" s="52"/>
      <c r="K190" s="52"/>
    </row>
    <row r="191" spans="1:11" x14ac:dyDescent="0.3">
      <c r="A191" s="52" t="str">
        <f>'Raw Data'!A191</f>
        <v>Western Michigan</v>
      </c>
      <c r="B191" s="52">
        <f ca="1">'Raw Data'!B191*($K$2/_xlfn.STDEV.P('Raw Data'!B$2:'Raw Data'!B$352)) + ($J$2-($K$2/_xlfn.STDEV.P('Raw Data'!B$2:'Raw Data'!B$352))*AVERAGE('Raw Data'!B$2:'Raw Data'!B$352))</f>
        <v>70.428189726860822</v>
      </c>
      <c r="C191" s="52">
        <f ca="1">'Raw Data'!C191*($K$2/_xlfn.STDEV.P('Raw Data'!C$2:'Raw Data'!C$352)) + ($J$2-($K$2/_xlfn.STDEV.P('Raw Data'!C$2:'Raw Data'!C$352))*AVERAGE('Raw Data'!C$2:'Raw Data'!C$352))</f>
        <v>70.609907876701655</v>
      </c>
      <c r="D191" s="52">
        <f ca="1">'Raw Data'!D191*($K$2/_xlfn.STDEV.P('Raw Data'!D$2:'Raw Data'!D$352)) + ($J$2-($K$2/_xlfn.STDEV.P('Raw Data'!D$2:'Raw Data'!D$352))*AVERAGE('Raw Data'!D$2:'Raw Data'!D$352))</f>
        <v>70.239999999999995</v>
      </c>
      <c r="E191" s="52" t="str">
        <f ca="1">IFERROR($J$4+('Raw Data'!H191-MIN('Raw Data'!H$2:'Raw Data'!H$352))*($J$3-$J$4)/(MAX('Raw Data'!H$2:'Raw Data'!H$352)-MIN('Raw Data'!H$2:'Raw Data'!H$352)),"")</f>
        <v/>
      </c>
      <c r="F191" s="52" t="str">
        <f ca="1">IFERROR($J$4+('Raw Data'!I191-MIN('Raw Data'!I$2:'Raw Data'!I$352))*($J$3-$J$4)/(MAX('Raw Data'!I$2:'Raw Data'!I$352)-MIN('Raw Data'!I$2:'Raw Data'!I$352)),"")</f>
        <v/>
      </c>
      <c r="G191" s="52">
        <f ca="1">IF(Bracket!$I$1="Composite",AVERAGE(B191:F191),IF(Bracket!$I$1="Kenpom",B191,IF(Bracket!$I$1="PVA",C191,IF(Bracket!$I$1="Sagarin Predictor",D191,IF(Bracket!$I$1="No Preseason",AVERAGE(B191:D191),"")))))</f>
        <v>70.426032534520814</v>
      </c>
      <c r="H191" s="63">
        <f t="shared" ca="1" si="2"/>
        <v>181</v>
      </c>
      <c r="I191" s="52"/>
      <c r="J191" s="52"/>
      <c r="K191" s="52"/>
    </row>
    <row r="192" spans="1:11" x14ac:dyDescent="0.3">
      <c r="A192" s="52" t="str">
        <f>'Raw Data'!A192</f>
        <v>DePaul</v>
      </c>
      <c r="B192" s="52">
        <f ca="1">'Raw Data'!B192*($K$2/_xlfn.STDEV.P('Raw Data'!B$2:'Raw Data'!B$352)) + ($J$2-($K$2/_xlfn.STDEV.P('Raw Data'!B$2:'Raw Data'!B$352))*AVERAGE('Raw Data'!B$2:'Raw Data'!B$352))</f>
        <v>68.383911089466096</v>
      </c>
      <c r="C192" s="52">
        <f ca="1">'Raw Data'!C192*($K$2/_xlfn.STDEV.P('Raw Data'!C$2:'Raw Data'!C$352)) + ($J$2-($K$2/_xlfn.STDEV.P('Raw Data'!C$2:'Raw Data'!C$352))*AVERAGE('Raw Data'!C$2:'Raw Data'!C$352))</f>
        <v>69.317483954064258</v>
      </c>
      <c r="D192" s="52">
        <f ca="1">'Raw Data'!D192*($K$2/_xlfn.STDEV.P('Raw Data'!D$2:'Raw Data'!D$352)) + ($J$2-($K$2/_xlfn.STDEV.P('Raw Data'!D$2:'Raw Data'!D$352))*AVERAGE('Raw Data'!D$2:'Raw Data'!D$352))</f>
        <v>71.44</v>
      </c>
      <c r="E192" s="52" t="str">
        <f ca="1">IFERROR($J$4+('Raw Data'!H192-MIN('Raw Data'!H$2:'Raw Data'!H$352))*($J$3-$J$4)/(MAX('Raw Data'!H$2:'Raw Data'!H$352)-MIN('Raw Data'!H$2:'Raw Data'!H$352)),"")</f>
        <v/>
      </c>
      <c r="F192" s="52" t="str">
        <f ca="1">IFERROR($J$4+('Raw Data'!I192-MIN('Raw Data'!I$2:'Raw Data'!I$352))*($J$3-$J$4)/(MAX('Raw Data'!I$2:'Raw Data'!I$352)-MIN('Raw Data'!I$2:'Raw Data'!I$352)),"")</f>
        <v/>
      </c>
      <c r="G192" s="52">
        <f ca="1">IF(Bracket!$I$1="Composite",AVERAGE(B192:F192),IF(Bracket!$I$1="Kenpom",B192,IF(Bracket!$I$1="PVA",C192,IF(Bracket!$I$1="Sagarin Predictor",D192,IF(Bracket!$I$1="No Preseason",AVERAGE(B192:D192),"")))))</f>
        <v>69.713798347843451</v>
      </c>
      <c r="H192" s="63">
        <f t="shared" ca="1" si="2"/>
        <v>191</v>
      </c>
      <c r="I192" s="52"/>
      <c r="J192" s="52"/>
      <c r="K192" s="52"/>
    </row>
    <row r="193" spans="1:11" x14ac:dyDescent="0.3">
      <c r="A193" s="52" t="str">
        <f>'Raw Data'!A193</f>
        <v>Western Carolina</v>
      </c>
      <c r="B193" s="52">
        <f ca="1">'Raw Data'!B193*($K$2/_xlfn.STDEV.P('Raw Data'!B$2:'Raw Data'!B$352)) + ($J$2-($K$2/_xlfn.STDEV.P('Raw Data'!B$2:'Raw Data'!B$352))*AVERAGE('Raw Data'!B$2:'Raw Data'!B$352))</f>
        <v>69.632354316362139</v>
      </c>
      <c r="C193" s="52">
        <f ca="1">'Raw Data'!C193*($K$2/_xlfn.STDEV.P('Raw Data'!C$2:'Raw Data'!C$352)) + ($J$2-($K$2/_xlfn.STDEV.P('Raw Data'!C$2:'Raw Data'!C$352))*AVERAGE('Raw Data'!C$2:'Raw Data'!C$352))</f>
        <v>69.18824156180051</v>
      </c>
      <c r="D193" s="52">
        <f ca="1">'Raw Data'!D193*($K$2/_xlfn.STDEV.P('Raw Data'!D$2:'Raw Data'!D$352)) + ($J$2-($K$2/_xlfn.STDEV.P('Raw Data'!D$2:'Raw Data'!D$352))*AVERAGE('Raw Data'!D$2:'Raw Data'!D$352))</f>
        <v>68</v>
      </c>
      <c r="E193" s="52" t="str">
        <f ca="1">IFERROR($J$4+('Raw Data'!H193-MIN('Raw Data'!H$2:'Raw Data'!H$352))*($J$3-$J$4)/(MAX('Raw Data'!H$2:'Raw Data'!H$352)-MIN('Raw Data'!H$2:'Raw Data'!H$352)),"")</f>
        <v/>
      </c>
      <c r="F193" s="52" t="str">
        <f ca="1">IFERROR($J$4+('Raw Data'!I193-MIN('Raw Data'!I$2:'Raw Data'!I$352))*($J$3-$J$4)/(MAX('Raw Data'!I$2:'Raw Data'!I$352)-MIN('Raw Data'!I$2:'Raw Data'!I$352)),"")</f>
        <v/>
      </c>
      <c r="G193" s="52">
        <f ca="1">IF(Bracket!$I$1="Composite",AVERAGE(B193:F193),IF(Bracket!$I$1="Kenpom",B193,IF(Bracket!$I$1="PVA",C193,IF(Bracket!$I$1="Sagarin Predictor",D193,IF(Bracket!$I$1="No Preseason",AVERAGE(B193:D193),"")))))</f>
        <v>68.940198626054212</v>
      </c>
      <c r="H193" s="63">
        <f t="shared" ca="1" si="2"/>
        <v>199</v>
      </c>
      <c r="I193" s="52"/>
      <c r="J193" s="52"/>
      <c r="K193" s="52"/>
    </row>
    <row r="194" spans="1:11" x14ac:dyDescent="0.3">
      <c r="A194" s="52" t="str">
        <f>'Raw Data'!A194</f>
        <v>Eastern Kentucky</v>
      </c>
      <c r="B194" s="52">
        <f ca="1">'Raw Data'!B194*($K$2/_xlfn.STDEV.P('Raw Data'!B$2:'Raw Data'!B$352)) + ($J$2-($K$2/_xlfn.STDEV.P('Raw Data'!B$2:'Raw Data'!B$352))*AVERAGE('Raw Data'!B$2:'Raw Data'!B$352))</f>
        <v>69.240094208817766</v>
      </c>
      <c r="C194" s="52">
        <f ca="1">'Raw Data'!C194*($K$2/_xlfn.STDEV.P('Raw Data'!C$2:'Raw Data'!C$352)) + ($J$2-($K$2/_xlfn.STDEV.P('Raw Data'!C$2:'Raw Data'!C$352))*AVERAGE('Raw Data'!C$2:'Raw Data'!C$352))</f>
        <v>68.800514385009294</v>
      </c>
      <c r="D194" s="52">
        <f ca="1">'Raw Data'!D194*($K$2/_xlfn.STDEV.P('Raw Data'!D$2:'Raw Data'!D$352)) + ($J$2-($K$2/_xlfn.STDEV.P('Raw Data'!D$2:'Raw Data'!D$352))*AVERAGE('Raw Data'!D$2:'Raw Data'!D$352))</f>
        <v>69.14</v>
      </c>
      <c r="E194" s="52" t="str">
        <f ca="1">IFERROR($J$4+('Raw Data'!H194-MIN('Raw Data'!H$2:'Raw Data'!H$352))*($J$3-$J$4)/(MAX('Raw Data'!H$2:'Raw Data'!H$352)-MIN('Raw Data'!H$2:'Raw Data'!H$352)),"")</f>
        <v/>
      </c>
      <c r="F194" s="52" t="str">
        <f ca="1">IFERROR($J$4+('Raw Data'!I194-MIN('Raw Data'!I$2:'Raw Data'!I$352))*($J$3-$J$4)/(MAX('Raw Data'!I$2:'Raw Data'!I$352)-MIN('Raw Data'!I$2:'Raw Data'!I$352)),"")</f>
        <v/>
      </c>
      <c r="G194" s="52">
        <f ca="1">IF(Bracket!$I$1="Composite",AVERAGE(B194:F194),IF(Bracket!$I$1="Kenpom",B194,IF(Bracket!$I$1="PVA",C194,IF(Bracket!$I$1="Sagarin Predictor",D194,IF(Bracket!$I$1="No Preseason",AVERAGE(B194:D194),"")))))</f>
        <v>69.060202864609025</v>
      </c>
      <c r="H194" s="63">
        <f t="shared" ca="1" si="2"/>
        <v>198</v>
      </c>
      <c r="I194" s="52"/>
      <c r="J194" s="52"/>
      <c r="K194" s="52"/>
    </row>
    <row r="195" spans="1:11" x14ac:dyDescent="0.3">
      <c r="A195" s="52" t="str">
        <f>'Raw Data'!A195</f>
        <v>NJIT</v>
      </c>
      <c r="B195" s="52">
        <f ca="1">'Raw Data'!B195*($K$2/_xlfn.STDEV.P('Raw Data'!B$2:'Raw Data'!B$352)) + ($J$2-($K$2/_xlfn.STDEV.P('Raw Data'!B$2:'Raw Data'!B$352))*AVERAGE('Raw Data'!B$2:'Raw Data'!B$352))</f>
        <v>68.006737909134969</v>
      </c>
      <c r="C195" s="52">
        <f ca="1">'Raw Data'!C195*($K$2/_xlfn.STDEV.P('Raw Data'!C$2:'Raw Data'!C$352)) + ($J$2-($K$2/_xlfn.STDEV.P('Raw Data'!C$2:'Raw Data'!C$352))*AVERAGE('Raw Data'!C$2:'Raw Data'!C$352))</f>
        <v>69.18824156180051</v>
      </c>
      <c r="D195" s="52">
        <f ca="1">'Raw Data'!D195*($K$2/_xlfn.STDEV.P('Raw Data'!D$2:'Raw Data'!D$352)) + ($J$2-($K$2/_xlfn.STDEV.P('Raw Data'!D$2:'Raw Data'!D$352))*AVERAGE('Raw Data'!D$2:'Raw Data'!D$352))</f>
        <v>68.36</v>
      </c>
      <c r="E195" s="52" t="str">
        <f ca="1">IFERROR($J$4+('Raw Data'!H195-MIN('Raw Data'!H$2:'Raw Data'!H$352))*($J$3-$J$4)/(MAX('Raw Data'!H$2:'Raw Data'!H$352)-MIN('Raw Data'!H$2:'Raw Data'!H$352)),"")</f>
        <v/>
      </c>
      <c r="F195" s="52" t="str">
        <f ca="1">IFERROR($J$4+('Raw Data'!I195-MIN('Raw Data'!I$2:'Raw Data'!I$352))*($J$3-$J$4)/(MAX('Raw Data'!I$2:'Raw Data'!I$352)-MIN('Raw Data'!I$2:'Raw Data'!I$352)),"")</f>
        <v/>
      </c>
      <c r="G195" s="52">
        <f ca="1">IF(Bracket!$I$1="Composite",AVERAGE(B195:F195),IF(Bracket!$I$1="Kenpom",B195,IF(Bracket!$I$1="PVA",C195,IF(Bracket!$I$1="Sagarin Predictor",D195,IF(Bracket!$I$1="No Preseason",AVERAGE(B195:D195),"")))))</f>
        <v>68.518326490311836</v>
      </c>
      <c r="H195" s="63">
        <f t="shared" ref="H195:H258" ca="1" si="3">RANK(G195,$G$2:$G$352)</f>
        <v>206</v>
      </c>
      <c r="I195" s="52"/>
      <c r="J195" s="52"/>
      <c r="K195" s="52"/>
    </row>
    <row r="196" spans="1:11" x14ac:dyDescent="0.3">
      <c r="A196" s="52" t="str">
        <f>'Raw Data'!A196</f>
        <v>Harvard</v>
      </c>
      <c r="B196" s="52">
        <f ca="1">'Raw Data'!B196*($K$2/_xlfn.STDEV.P('Raw Data'!B$2:'Raw Data'!B$352)) + ($J$2-($K$2/_xlfn.STDEV.P('Raw Data'!B$2:'Raw Data'!B$352))*AVERAGE('Raw Data'!B$2:'Raw Data'!B$352))</f>
        <v>70.597917658009834</v>
      </c>
      <c r="C196" s="52">
        <f ca="1">'Raw Data'!C196*($K$2/_xlfn.STDEV.P('Raw Data'!C$2:'Raw Data'!C$352)) + ($J$2-($K$2/_xlfn.STDEV.P('Raw Data'!C$2:'Raw Data'!C$352))*AVERAGE('Raw Data'!C$2:'Raw Data'!C$352))</f>
        <v>70.351423092174173</v>
      </c>
      <c r="D196" s="52">
        <f ca="1">'Raw Data'!D196*($K$2/_xlfn.STDEV.P('Raw Data'!D$2:'Raw Data'!D$352)) + ($J$2-($K$2/_xlfn.STDEV.P('Raw Data'!D$2:'Raw Data'!D$352))*AVERAGE('Raw Data'!D$2:'Raw Data'!D$352))</f>
        <v>72.08</v>
      </c>
      <c r="E196" s="52" t="str">
        <f ca="1">IFERROR($J$4+('Raw Data'!H196-MIN('Raw Data'!H$2:'Raw Data'!H$352))*($J$3-$J$4)/(MAX('Raw Data'!H$2:'Raw Data'!H$352)-MIN('Raw Data'!H$2:'Raw Data'!H$352)),"")</f>
        <v/>
      </c>
      <c r="F196" s="52" t="str">
        <f ca="1">IFERROR($J$4+('Raw Data'!I196-MIN('Raw Data'!I$2:'Raw Data'!I$352))*($J$3-$J$4)/(MAX('Raw Data'!I$2:'Raw Data'!I$352)-MIN('Raw Data'!I$2:'Raw Data'!I$352)),"")</f>
        <v/>
      </c>
      <c r="G196" s="52">
        <f ca="1">IF(Bracket!$I$1="Composite",AVERAGE(B196:F196),IF(Bracket!$I$1="Kenpom",B196,IF(Bracket!$I$1="PVA",C196,IF(Bracket!$I$1="Sagarin Predictor",D196,IF(Bracket!$I$1="No Preseason",AVERAGE(B196:D196),"")))))</f>
        <v>71.00978025006134</v>
      </c>
      <c r="H196" s="63">
        <f t="shared" ca="1" si="3"/>
        <v>173</v>
      </c>
      <c r="I196" s="52"/>
      <c r="J196" s="52"/>
      <c r="K196" s="52"/>
    </row>
    <row r="197" spans="1:11" x14ac:dyDescent="0.3">
      <c r="A197" s="52" t="str">
        <f>'Raw Data'!A197</f>
        <v>UNC Greensboro</v>
      </c>
      <c r="B197" s="52">
        <f ca="1">'Raw Data'!B197*($K$2/_xlfn.STDEV.P('Raw Data'!B$2:'Raw Data'!B$352)) + ($J$2-($K$2/_xlfn.STDEV.P('Raw Data'!B$2:'Raw Data'!B$352))*AVERAGE('Raw Data'!B$2:'Raw Data'!B$352))</f>
        <v>67.837009977985957</v>
      </c>
      <c r="C197" s="52">
        <f ca="1">'Raw Data'!C197*($K$2/_xlfn.STDEV.P('Raw Data'!C$2:'Raw Data'!C$352)) + ($J$2-($K$2/_xlfn.STDEV.P('Raw Data'!C$2:'Raw Data'!C$352))*AVERAGE('Raw Data'!C$2:'Raw Data'!C$352))</f>
        <v>66.991120893316946</v>
      </c>
      <c r="D197" s="52">
        <f ca="1">'Raw Data'!D197*($K$2/_xlfn.STDEV.P('Raw Data'!D$2:'Raw Data'!D$352)) + ($J$2-($K$2/_xlfn.STDEV.P('Raw Data'!D$2:'Raw Data'!D$352))*AVERAGE('Raw Data'!D$2:'Raw Data'!D$352))</f>
        <v>66.7</v>
      </c>
      <c r="E197" s="52" t="str">
        <f ca="1">IFERROR($J$4+('Raw Data'!H197-MIN('Raw Data'!H$2:'Raw Data'!H$352))*($J$3-$J$4)/(MAX('Raw Data'!H$2:'Raw Data'!H$352)-MIN('Raw Data'!H$2:'Raw Data'!H$352)),"")</f>
        <v/>
      </c>
      <c r="F197" s="52" t="str">
        <f ca="1">IFERROR($J$4+('Raw Data'!I197-MIN('Raw Data'!I$2:'Raw Data'!I$352))*($J$3-$J$4)/(MAX('Raw Data'!I$2:'Raw Data'!I$352)-MIN('Raw Data'!I$2:'Raw Data'!I$352)),"")</f>
        <v/>
      </c>
      <c r="G197" s="52">
        <f ca="1">IF(Bracket!$I$1="Composite",AVERAGE(B197:F197),IF(Bracket!$I$1="Kenpom",B197,IF(Bracket!$I$1="PVA",C197,IF(Bracket!$I$1="Sagarin Predictor",D197,IF(Bracket!$I$1="No Preseason",AVERAGE(B197:D197),"")))))</f>
        <v>67.176043623767626</v>
      </c>
      <c r="H197" s="63">
        <f t="shared" ca="1" si="3"/>
        <v>225</v>
      </c>
      <c r="I197" s="52"/>
      <c r="J197" s="52"/>
      <c r="K197" s="52"/>
    </row>
    <row r="198" spans="1:11" x14ac:dyDescent="0.3">
      <c r="A198" s="52" t="str">
        <f>'Raw Data'!A198</f>
        <v>Sam Houston</v>
      </c>
      <c r="B198" s="52">
        <f ca="1">'Raw Data'!B198*($K$2/_xlfn.STDEV.P('Raw Data'!B$2:'Raw Data'!B$352)) + ($J$2-($K$2/_xlfn.STDEV.P('Raw Data'!B$2:'Raw Data'!B$352))*AVERAGE('Raw Data'!B$2:'Raw Data'!B$352))</f>
        <v>67.659738583230336</v>
      </c>
      <c r="C198" s="52">
        <f ca="1">'Raw Data'!C198*($K$2/_xlfn.STDEV.P('Raw Data'!C$2:'Raw Data'!C$352)) + ($J$2-($K$2/_xlfn.STDEV.P('Raw Data'!C$2:'Raw Data'!C$352))*AVERAGE('Raw Data'!C$2:'Raw Data'!C$352))</f>
        <v>67.895817639163113</v>
      </c>
      <c r="D198" s="52">
        <f ca="1">'Raw Data'!D198*($K$2/_xlfn.STDEV.P('Raw Data'!D$2:'Raw Data'!D$352)) + ($J$2-($K$2/_xlfn.STDEV.P('Raw Data'!D$2:'Raw Data'!D$352))*AVERAGE('Raw Data'!D$2:'Raw Data'!D$352))</f>
        <v>67.739999999999995</v>
      </c>
      <c r="E198" s="52" t="str">
        <f ca="1">IFERROR($J$4+('Raw Data'!H198-MIN('Raw Data'!H$2:'Raw Data'!H$352))*($J$3-$J$4)/(MAX('Raw Data'!H$2:'Raw Data'!H$352)-MIN('Raw Data'!H$2:'Raw Data'!H$352)),"")</f>
        <v/>
      </c>
      <c r="F198" s="52" t="str">
        <f ca="1">IFERROR($J$4+('Raw Data'!I198-MIN('Raw Data'!I$2:'Raw Data'!I$352))*($J$3-$J$4)/(MAX('Raw Data'!I$2:'Raw Data'!I$352)-MIN('Raw Data'!I$2:'Raw Data'!I$352)),"")</f>
        <v/>
      </c>
      <c r="G198" s="52">
        <f ca="1">IF(Bracket!$I$1="Composite",AVERAGE(B198:F198),IF(Bracket!$I$1="Kenpom",B198,IF(Bracket!$I$1="PVA",C198,IF(Bracket!$I$1="Sagarin Predictor",D198,IF(Bracket!$I$1="No Preseason",AVERAGE(B198:D198),"")))))</f>
        <v>67.765185407464472</v>
      </c>
      <c r="H198" s="63">
        <f t="shared" ca="1" si="3"/>
        <v>215</v>
      </c>
      <c r="I198" s="52"/>
      <c r="J198" s="52"/>
      <c r="K198" s="52"/>
    </row>
    <row r="199" spans="1:11" x14ac:dyDescent="0.3">
      <c r="A199" s="52" t="str">
        <f>'Raw Data'!A199</f>
        <v>UCF</v>
      </c>
      <c r="B199" s="52">
        <f ca="1">'Raw Data'!B199*($K$2/_xlfn.STDEV.P('Raw Data'!B$2:'Raw Data'!B$352)) + ($J$2-($K$2/_xlfn.STDEV.P('Raw Data'!B$2:'Raw Data'!B$352))*AVERAGE('Raw Data'!B$2:'Raw Data'!B$352))</f>
        <v>68.55741075241842</v>
      </c>
      <c r="C199" s="52">
        <f ca="1">'Raw Data'!C199*($K$2/_xlfn.STDEV.P('Raw Data'!C$2:'Raw Data'!C$352)) + ($J$2-($K$2/_xlfn.STDEV.P('Raw Data'!C$2:'Raw Data'!C$352))*AVERAGE('Raw Data'!C$2:'Raw Data'!C$352))</f>
        <v>71.385362230284088</v>
      </c>
      <c r="D199" s="52">
        <f ca="1">'Raw Data'!D199*($K$2/_xlfn.STDEV.P('Raw Data'!D$2:'Raw Data'!D$352)) + ($J$2-($K$2/_xlfn.STDEV.P('Raw Data'!D$2:'Raw Data'!D$352))*AVERAGE('Raw Data'!D$2:'Raw Data'!D$352))</f>
        <v>70.680000000000007</v>
      </c>
      <c r="E199" s="52" t="str">
        <f ca="1">IFERROR($J$4+('Raw Data'!H199-MIN('Raw Data'!H$2:'Raw Data'!H$352))*($J$3-$J$4)/(MAX('Raw Data'!H$2:'Raw Data'!H$352)-MIN('Raw Data'!H$2:'Raw Data'!H$352)),"")</f>
        <v/>
      </c>
      <c r="F199" s="52" t="str">
        <f ca="1">IFERROR($J$4+('Raw Data'!I199-MIN('Raw Data'!I$2:'Raw Data'!I$352))*($J$3-$J$4)/(MAX('Raw Data'!I$2:'Raw Data'!I$352)-MIN('Raw Data'!I$2:'Raw Data'!I$352)),"")</f>
        <v/>
      </c>
      <c r="G199" s="52">
        <f ca="1">IF(Bracket!$I$1="Composite",AVERAGE(B199:F199),IF(Bracket!$I$1="Kenpom",B199,IF(Bracket!$I$1="PVA",C199,IF(Bracket!$I$1="Sagarin Predictor",D199,IF(Bracket!$I$1="No Preseason",AVERAGE(B199:D199),"")))))</f>
        <v>70.207590994234167</v>
      </c>
      <c r="H199" s="63">
        <f t="shared" ca="1" si="3"/>
        <v>183</v>
      </c>
      <c r="I199" s="52"/>
      <c r="J199" s="52"/>
      <c r="K199" s="52"/>
    </row>
    <row r="200" spans="1:11" x14ac:dyDescent="0.3">
      <c r="A200" s="52" t="str">
        <f>'Raw Data'!A200</f>
        <v>Charlotte</v>
      </c>
      <c r="B200" s="52">
        <f ca="1">'Raw Data'!B200*($K$2/_xlfn.STDEV.P('Raw Data'!B$2:'Raw Data'!B$352)) + ($J$2-($K$2/_xlfn.STDEV.P('Raw Data'!B$2:'Raw Data'!B$352))*AVERAGE('Raw Data'!B$2:'Raw Data'!B$352))</f>
        <v>69.258952867834324</v>
      </c>
      <c r="C200" s="52">
        <f ca="1">'Raw Data'!C200*($K$2/_xlfn.STDEV.P('Raw Data'!C$2:'Raw Data'!C$352)) + ($J$2-($K$2/_xlfn.STDEV.P('Raw Data'!C$2:'Raw Data'!C$352))*AVERAGE('Raw Data'!C$2:'Raw Data'!C$352))</f>
        <v>69.963695915382957</v>
      </c>
      <c r="D200" s="52">
        <f ca="1">'Raw Data'!D200*($K$2/_xlfn.STDEV.P('Raw Data'!D$2:'Raw Data'!D$352)) + ($J$2-($K$2/_xlfn.STDEV.P('Raw Data'!D$2:'Raw Data'!D$352))*AVERAGE('Raw Data'!D$2:'Raw Data'!D$352))</f>
        <v>68.849999999999994</v>
      </c>
      <c r="E200" s="52" t="str">
        <f ca="1">IFERROR($J$4+('Raw Data'!H200-MIN('Raw Data'!H$2:'Raw Data'!H$352))*($J$3-$J$4)/(MAX('Raw Data'!H$2:'Raw Data'!H$352)-MIN('Raw Data'!H$2:'Raw Data'!H$352)),"")</f>
        <v/>
      </c>
      <c r="F200" s="52" t="str">
        <f ca="1">IFERROR($J$4+('Raw Data'!I200-MIN('Raw Data'!I$2:'Raw Data'!I$352))*($J$3-$J$4)/(MAX('Raw Data'!I$2:'Raw Data'!I$352)-MIN('Raw Data'!I$2:'Raw Data'!I$352)),"")</f>
        <v/>
      </c>
      <c r="G200" s="52">
        <f ca="1">IF(Bracket!$I$1="Composite",AVERAGE(B200:F200),IF(Bracket!$I$1="Kenpom",B200,IF(Bracket!$I$1="PVA",C200,IF(Bracket!$I$1="Sagarin Predictor",D200,IF(Bracket!$I$1="No Preseason",AVERAGE(B200:D200),"")))))</f>
        <v>69.357549594405754</v>
      </c>
      <c r="H200" s="63">
        <f t="shared" ca="1" si="3"/>
        <v>194</v>
      </c>
      <c r="I200" s="52"/>
      <c r="J200" s="52"/>
      <c r="K200" s="52"/>
    </row>
    <row r="201" spans="1:11" x14ac:dyDescent="0.3">
      <c r="A201" s="52" t="str">
        <f>'Raw Data'!A201</f>
        <v>IUPUI</v>
      </c>
      <c r="B201" s="52">
        <f ca="1">'Raw Data'!B201*($K$2/_xlfn.STDEV.P('Raw Data'!B$2:'Raw Data'!B$352)) + ($J$2-($K$2/_xlfn.STDEV.P('Raw Data'!B$2:'Raw Data'!B$352))*AVERAGE('Raw Data'!B$2:'Raw Data'!B$352))</f>
        <v>67.976564054708476</v>
      </c>
      <c r="C201" s="52">
        <f ca="1">'Raw Data'!C201*($K$2/_xlfn.STDEV.P('Raw Data'!C$2:'Raw Data'!C$352)) + ($J$2-($K$2/_xlfn.STDEV.P('Raw Data'!C$2:'Raw Data'!C$352))*AVERAGE('Raw Data'!C$2:'Raw Data'!C$352))</f>
        <v>67.508090462371896</v>
      </c>
      <c r="D201" s="52">
        <f ca="1">'Raw Data'!D201*($K$2/_xlfn.STDEV.P('Raw Data'!D$2:'Raw Data'!D$352)) + ($J$2-($K$2/_xlfn.STDEV.P('Raw Data'!D$2:'Raw Data'!D$352))*AVERAGE('Raw Data'!D$2:'Raw Data'!D$352))</f>
        <v>67.209999999999994</v>
      </c>
      <c r="E201" s="52" t="str">
        <f ca="1">IFERROR($J$4+('Raw Data'!H201-MIN('Raw Data'!H$2:'Raw Data'!H$352))*($J$3-$J$4)/(MAX('Raw Data'!H$2:'Raw Data'!H$352)-MIN('Raw Data'!H$2:'Raw Data'!H$352)),"")</f>
        <v/>
      </c>
      <c r="F201" s="52" t="str">
        <f ca="1">IFERROR($J$4+('Raw Data'!I201-MIN('Raw Data'!I$2:'Raw Data'!I$352))*($J$3-$J$4)/(MAX('Raw Data'!I$2:'Raw Data'!I$352)-MIN('Raw Data'!I$2:'Raw Data'!I$352)),"")</f>
        <v/>
      </c>
      <c r="G201" s="52">
        <f ca="1">IF(Bracket!$I$1="Composite",AVERAGE(B201:F201),IF(Bracket!$I$1="Kenpom",B201,IF(Bracket!$I$1="PVA",C201,IF(Bracket!$I$1="Sagarin Predictor",D201,IF(Bracket!$I$1="No Preseason",AVERAGE(B201:D201),"")))))</f>
        <v>67.564884839026789</v>
      </c>
      <c r="H201" s="63">
        <f t="shared" ca="1" si="3"/>
        <v>220</v>
      </c>
      <c r="I201" s="52"/>
      <c r="J201" s="52"/>
      <c r="K201" s="52"/>
    </row>
    <row r="202" spans="1:11" x14ac:dyDescent="0.3">
      <c r="A202" s="52" t="str">
        <f>'Raw Data'!A202</f>
        <v>Georgia Southern</v>
      </c>
      <c r="B202" s="52">
        <f ca="1">'Raw Data'!B202*($K$2/_xlfn.STDEV.P('Raw Data'!B$2:'Raw Data'!B$352)) + ($J$2-($K$2/_xlfn.STDEV.P('Raw Data'!B$2:'Raw Data'!B$352))*AVERAGE('Raw Data'!B$2:'Raw Data'!B$352))</f>
        <v>68.957214323569417</v>
      </c>
      <c r="C202" s="52">
        <f ca="1">'Raw Data'!C202*($K$2/_xlfn.STDEV.P('Raw Data'!C$2:'Raw Data'!C$352)) + ($J$2-($K$2/_xlfn.STDEV.P('Raw Data'!C$2:'Raw Data'!C$352))*AVERAGE('Raw Data'!C$2:'Raw Data'!C$352))</f>
        <v>67.378848070108162</v>
      </c>
      <c r="D202" s="52">
        <f ca="1">'Raw Data'!D202*($K$2/_xlfn.STDEV.P('Raw Data'!D$2:'Raw Data'!D$352)) + ($J$2-($K$2/_xlfn.STDEV.P('Raw Data'!D$2:'Raw Data'!D$352))*AVERAGE('Raw Data'!D$2:'Raw Data'!D$352))</f>
        <v>67.510000000000005</v>
      </c>
      <c r="E202" s="52" t="str">
        <f ca="1">IFERROR($J$4+('Raw Data'!H202-MIN('Raw Data'!H$2:'Raw Data'!H$352))*($J$3-$J$4)/(MAX('Raw Data'!H$2:'Raw Data'!H$352)-MIN('Raw Data'!H$2:'Raw Data'!H$352)),"")</f>
        <v/>
      </c>
      <c r="F202" s="52" t="str">
        <f ca="1">IFERROR($J$4+('Raw Data'!I202-MIN('Raw Data'!I$2:'Raw Data'!I$352))*($J$3-$J$4)/(MAX('Raw Data'!I$2:'Raw Data'!I$352)-MIN('Raw Data'!I$2:'Raw Data'!I$352)),"")</f>
        <v/>
      </c>
      <c r="G202" s="52">
        <f ca="1">IF(Bracket!$I$1="Composite",AVERAGE(B202:F202),IF(Bracket!$I$1="Kenpom",B202,IF(Bracket!$I$1="PVA",C202,IF(Bracket!$I$1="Sagarin Predictor",D202,IF(Bracket!$I$1="No Preseason",AVERAGE(B202:D202),"")))))</f>
        <v>67.9486874645592</v>
      </c>
      <c r="H202" s="63">
        <f t="shared" ca="1" si="3"/>
        <v>212</v>
      </c>
      <c r="I202" s="52"/>
      <c r="J202" s="52"/>
      <c r="K202" s="52"/>
    </row>
    <row r="203" spans="1:11" x14ac:dyDescent="0.3">
      <c r="A203" s="52" t="str">
        <f>'Raw Data'!A203</f>
        <v>North Dakota</v>
      </c>
      <c r="B203" s="52">
        <f ca="1">'Raw Data'!B203*($K$2/_xlfn.STDEV.P('Raw Data'!B$2:'Raw Data'!B$352)) + ($J$2-($K$2/_xlfn.STDEV.P('Raw Data'!B$2:'Raw Data'!B$352))*AVERAGE('Raw Data'!B$2:'Raw Data'!B$352))</f>
        <v>68.983616446192599</v>
      </c>
      <c r="C203" s="52">
        <f ca="1">'Raw Data'!C203*($K$2/_xlfn.STDEV.P('Raw Data'!C$2:'Raw Data'!C$352)) + ($J$2-($K$2/_xlfn.STDEV.P('Raw Data'!C$2:'Raw Data'!C$352))*AVERAGE('Raw Data'!C$2:'Raw Data'!C$352))</f>
        <v>68.412787208218077</v>
      </c>
      <c r="D203" s="52">
        <f ca="1">'Raw Data'!D203*($K$2/_xlfn.STDEV.P('Raw Data'!D$2:'Raw Data'!D$352)) + ($J$2-($K$2/_xlfn.STDEV.P('Raw Data'!D$2:'Raw Data'!D$352))*AVERAGE('Raw Data'!D$2:'Raw Data'!D$352))</f>
        <v>69.010000000000005</v>
      </c>
      <c r="E203" s="52" t="str">
        <f ca="1">IFERROR($J$4+('Raw Data'!H203-MIN('Raw Data'!H$2:'Raw Data'!H$352))*($J$3-$J$4)/(MAX('Raw Data'!H$2:'Raw Data'!H$352)-MIN('Raw Data'!H$2:'Raw Data'!H$352)),"")</f>
        <v/>
      </c>
      <c r="F203" s="52" t="str">
        <f ca="1">IFERROR($J$4+('Raw Data'!I203-MIN('Raw Data'!I$2:'Raw Data'!I$352))*($J$3-$J$4)/(MAX('Raw Data'!I$2:'Raw Data'!I$352)-MIN('Raw Data'!I$2:'Raw Data'!I$352)),"")</f>
        <v/>
      </c>
      <c r="G203" s="52">
        <f ca="1">IF(Bracket!$I$1="Composite",AVERAGE(B203:F203),IF(Bracket!$I$1="Kenpom",B203,IF(Bracket!$I$1="PVA",C203,IF(Bracket!$I$1="Sagarin Predictor",D203,IF(Bracket!$I$1="No Preseason",AVERAGE(B203:D203),"")))))</f>
        <v>68.802134551470218</v>
      </c>
      <c r="H203" s="63">
        <f t="shared" ca="1" si="3"/>
        <v>200</v>
      </c>
      <c r="I203" s="52"/>
      <c r="J203" s="52"/>
      <c r="K203" s="52"/>
    </row>
    <row r="204" spans="1:11" x14ac:dyDescent="0.3">
      <c r="A204" s="52" t="str">
        <f>'Raw Data'!A204</f>
        <v>Rider</v>
      </c>
      <c r="B204" s="52">
        <f ca="1">'Raw Data'!B204*($K$2/_xlfn.STDEV.P('Raw Data'!B$2:'Raw Data'!B$352)) + ($J$2-($K$2/_xlfn.STDEV.P('Raw Data'!B$2:'Raw Data'!B$352))*AVERAGE('Raw Data'!B$2:'Raw Data'!B$352))</f>
        <v>67.452293334048207</v>
      </c>
      <c r="C204" s="52">
        <f ca="1">'Raw Data'!C204*($K$2/_xlfn.STDEV.P('Raw Data'!C$2:'Raw Data'!C$352)) + ($J$2-($K$2/_xlfn.STDEV.P('Raw Data'!C$2:'Raw Data'!C$352))*AVERAGE('Raw Data'!C$2:'Raw Data'!C$352))</f>
        <v>66.991120893316946</v>
      </c>
      <c r="D204" s="52">
        <f ca="1">'Raw Data'!D204*($K$2/_xlfn.STDEV.P('Raw Data'!D$2:'Raw Data'!D$352)) + ($J$2-($K$2/_xlfn.STDEV.P('Raw Data'!D$2:'Raw Data'!D$352))*AVERAGE('Raw Data'!D$2:'Raw Data'!D$352))</f>
        <v>68.510000000000005</v>
      </c>
      <c r="E204" s="52" t="str">
        <f ca="1">IFERROR($J$4+('Raw Data'!H204-MIN('Raw Data'!H$2:'Raw Data'!H$352))*($J$3-$J$4)/(MAX('Raw Data'!H$2:'Raw Data'!H$352)-MIN('Raw Data'!H$2:'Raw Data'!H$352)),"")</f>
        <v/>
      </c>
      <c r="F204" s="52" t="str">
        <f ca="1">IFERROR($J$4+('Raw Data'!I204-MIN('Raw Data'!I$2:'Raw Data'!I$352))*($J$3-$J$4)/(MAX('Raw Data'!I$2:'Raw Data'!I$352)-MIN('Raw Data'!I$2:'Raw Data'!I$352)),"")</f>
        <v/>
      </c>
      <c r="G204" s="52">
        <f ca="1">IF(Bracket!$I$1="Composite",AVERAGE(B204:F204),IF(Bracket!$I$1="Kenpom",B204,IF(Bracket!$I$1="PVA",C204,IF(Bracket!$I$1="Sagarin Predictor",D204,IF(Bracket!$I$1="No Preseason",AVERAGE(B204:D204),"")))))</f>
        <v>67.651138075788381</v>
      </c>
      <c r="H204" s="63">
        <f t="shared" ca="1" si="3"/>
        <v>217</v>
      </c>
      <c r="I204" s="52"/>
      <c r="J204" s="52"/>
      <c r="K204" s="52"/>
    </row>
    <row r="205" spans="1:11" x14ac:dyDescent="0.3">
      <c r="A205" s="52" t="str">
        <f>'Raw Data'!A205</f>
        <v>Denver</v>
      </c>
      <c r="B205" s="52">
        <f ca="1">'Raw Data'!B205*($K$2/_xlfn.STDEV.P('Raw Data'!B$2:'Raw Data'!B$352)) + ($J$2-($K$2/_xlfn.STDEV.P('Raw Data'!B$2:'Raw Data'!B$352))*AVERAGE('Raw Data'!B$2:'Raw Data'!B$352))</f>
        <v>69.492800239639621</v>
      </c>
      <c r="C205" s="52">
        <f ca="1">'Raw Data'!C205*($K$2/_xlfn.STDEV.P('Raw Data'!C$2:'Raw Data'!C$352)) + ($J$2-($K$2/_xlfn.STDEV.P('Raw Data'!C$2:'Raw Data'!C$352))*AVERAGE('Raw Data'!C$2:'Raw Data'!C$352))</f>
        <v>70.480665484437907</v>
      </c>
      <c r="D205" s="52">
        <f ca="1">'Raw Data'!D205*($K$2/_xlfn.STDEV.P('Raw Data'!D$2:'Raw Data'!D$352)) + ($J$2-($K$2/_xlfn.STDEV.P('Raw Data'!D$2:'Raw Data'!D$352))*AVERAGE('Raw Data'!D$2:'Raw Data'!D$352))</f>
        <v>69.150000000000006</v>
      </c>
      <c r="E205" s="52" t="str">
        <f ca="1">IFERROR($J$4+('Raw Data'!H205-MIN('Raw Data'!H$2:'Raw Data'!H$352))*($J$3-$J$4)/(MAX('Raw Data'!H$2:'Raw Data'!H$352)-MIN('Raw Data'!H$2:'Raw Data'!H$352)),"")</f>
        <v/>
      </c>
      <c r="F205" s="52" t="str">
        <f ca="1">IFERROR($J$4+('Raw Data'!I205-MIN('Raw Data'!I$2:'Raw Data'!I$352))*($J$3-$J$4)/(MAX('Raw Data'!I$2:'Raw Data'!I$352)-MIN('Raw Data'!I$2:'Raw Data'!I$352)),"")</f>
        <v/>
      </c>
      <c r="G205" s="52">
        <f ca="1">IF(Bracket!$I$1="Composite",AVERAGE(B205:F205),IF(Bracket!$I$1="Kenpom",B205,IF(Bracket!$I$1="PVA",C205,IF(Bracket!$I$1="Sagarin Predictor",D205,IF(Bracket!$I$1="No Preseason",AVERAGE(B205:D205),"")))))</f>
        <v>69.707821908025849</v>
      </c>
      <c r="H205" s="63">
        <f t="shared" ca="1" si="3"/>
        <v>192</v>
      </c>
      <c r="I205" s="52"/>
      <c r="J205" s="52"/>
      <c r="K205" s="52"/>
    </row>
    <row r="206" spans="1:11" x14ac:dyDescent="0.3">
      <c r="A206" s="52" t="str">
        <f>'Raw Data'!A206</f>
        <v>San Francisco</v>
      </c>
      <c r="B206" s="52">
        <f ca="1">'Raw Data'!B206*($K$2/_xlfn.STDEV.P('Raw Data'!B$2:'Raw Data'!B$352)) + ($J$2-($K$2/_xlfn.STDEV.P('Raw Data'!B$2:'Raw Data'!B$352))*AVERAGE('Raw Data'!B$2:'Raw Data'!B$352))</f>
        <v>68.802573319633652</v>
      </c>
      <c r="C206" s="52">
        <f ca="1">'Raw Data'!C206*($K$2/_xlfn.STDEV.P('Raw Data'!C$2:'Raw Data'!C$352)) + ($J$2-($K$2/_xlfn.STDEV.P('Raw Data'!C$2:'Raw Data'!C$352))*AVERAGE('Raw Data'!C$2:'Raw Data'!C$352))</f>
        <v>69.705211130855474</v>
      </c>
      <c r="D206" s="52">
        <f ca="1">'Raw Data'!D206*($K$2/_xlfn.STDEV.P('Raw Data'!D$2:'Raw Data'!D$352)) + ($J$2-($K$2/_xlfn.STDEV.P('Raw Data'!D$2:'Raw Data'!D$352))*AVERAGE('Raw Data'!D$2:'Raw Data'!D$352))</f>
        <v>69.39</v>
      </c>
      <c r="E206" s="52" t="str">
        <f ca="1">IFERROR($J$4+('Raw Data'!H206-MIN('Raw Data'!H$2:'Raw Data'!H$352))*($J$3-$J$4)/(MAX('Raw Data'!H$2:'Raw Data'!H$352)-MIN('Raw Data'!H$2:'Raw Data'!H$352)),"")</f>
        <v/>
      </c>
      <c r="F206" s="52" t="str">
        <f ca="1">IFERROR($J$4+('Raw Data'!I206-MIN('Raw Data'!I$2:'Raw Data'!I$352))*($J$3-$J$4)/(MAX('Raw Data'!I$2:'Raw Data'!I$352)-MIN('Raw Data'!I$2:'Raw Data'!I$352)),"")</f>
        <v/>
      </c>
      <c r="G206" s="52">
        <f ca="1">IF(Bracket!$I$1="Composite",AVERAGE(B206:F206),IF(Bracket!$I$1="Kenpom",B206,IF(Bracket!$I$1="PVA",C206,IF(Bracket!$I$1="Sagarin Predictor",D206,IF(Bracket!$I$1="No Preseason",AVERAGE(B206:D206),"")))))</f>
        <v>69.299261483496366</v>
      </c>
      <c r="H206" s="63">
        <f t="shared" ca="1" si="3"/>
        <v>195</v>
      </c>
      <c r="I206" s="52"/>
      <c r="J206" s="52"/>
      <c r="K206" s="52"/>
    </row>
    <row r="207" spans="1:11" x14ac:dyDescent="0.3">
      <c r="A207" s="52" t="str">
        <f>'Raw Data'!A207</f>
        <v>St Peter's</v>
      </c>
      <c r="B207" s="52">
        <f ca="1">'Raw Data'!B207*($K$2/_xlfn.STDEV.P('Raw Data'!B$2:'Raw Data'!B$352)) + ($J$2-($K$2/_xlfn.STDEV.P('Raw Data'!B$2:'Raw Data'!B$352))*AVERAGE('Raw Data'!B$2:'Raw Data'!B$352))</f>
        <v>67.320282720932312</v>
      </c>
      <c r="C207" s="52">
        <f ca="1">'Raw Data'!C207*($K$2/_xlfn.STDEV.P('Raw Data'!C$2:'Raw Data'!C$352)) + ($J$2-($K$2/_xlfn.STDEV.P('Raw Data'!C$2:'Raw Data'!C$352))*AVERAGE('Raw Data'!C$2:'Raw Data'!C$352))</f>
        <v>68.025060031426861</v>
      </c>
      <c r="D207" s="52">
        <f ca="1">'Raw Data'!D207*($K$2/_xlfn.STDEV.P('Raw Data'!D$2:'Raw Data'!D$352)) + ($J$2-($K$2/_xlfn.STDEV.P('Raw Data'!D$2:'Raw Data'!D$352))*AVERAGE('Raw Data'!D$2:'Raw Data'!D$352))</f>
        <v>68.31</v>
      </c>
      <c r="E207" s="52" t="str">
        <f ca="1">IFERROR($J$4+('Raw Data'!H207-MIN('Raw Data'!H$2:'Raw Data'!H$352))*($J$3-$J$4)/(MAX('Raw Data'!H$2:'Raw Data'!H$352)-MIN('Raw Data'!H$2:'Raw Data'!H$352)),"")</f>
        <v/>
      </c>
      <c r="F207" s="52" t="str">
        <f ca="1">IFERROR($J$4+('Raw Data'!I207-MIN('Raw Data'!I$2:'Raw Data'!I$352))*($J$3-$J$4)/(MAX('Raw Data'!I$2:'Raw Data'!I$352)-MIN('Raw Data'!I$2:'Raw Data'!I$352)),"")</f>
        <v/>
      </c>
      <c r="G207" s="52">
        <f ca="1">IF(Bracket!$I$1="Composite",AVERAGE(B207:F207),IF(Bracket!$I$1="Kenpom",B207,IF(Bracket!$I$1="PVA",C207,IF(Bracket!$I$1="Sagarin Predictor",D207,IF(Bracket!$I$1="No Preseason",AVERAGE(B207:D207),"")))))</f>
        <v>67.885114250786387</v>
      </c>
      <c r="H207" s="63">
        <f t="shared" ca="1" si="3"/>
        <v>213</v>
      </c>
      <c r="I207" s="52"/>
      <c r="J207" s="52"/>
      <c r="K207" s="52"/>
    </row>
    <row r="208" spans="1:11" x14ac:dyDescent="0.3">
      <c r="A208" s="52" t="str">
        <f>'Raw Data'!A208</f>
        <v>Navy</v>
      </c>
      <c r="B208" s="52">
        <f ca="1">'Raw Data'!B208*($K$2/_xlfn.STDEV.P('Raw Data'!B$2:'Raw Data'!B$352)) + ($J$2-($K$2/_xlfn.STDEV.P('Raw Data'!B$2:'Raw Data'!B$352))*AVERAGE('Raw Data'!B$2:'Raw Data'!B$352))</f>
        <v>68.727138683567432</v>
      </c>
      <c r="C208" s="52">
        <f ca="1">'Raw Data'!C208*($K$2/_xlfn.STDEV.P('Raw Data'!C$2:'Raw Data'!C$352)) + ($J$2-($K$2/_xlfn.STDEV.P('Raw Data'!C$2:'Raw Data'!C$352))*AVERAGE('Raw Data'!C$2:'Raw Data'!C$352))</f>
        <v>68.800514385009294</v>
      </c>
      <c r="D208" s="52">
        <f ca="1">'Raw Data'!D208*($K$2/_xlfn.STDEV.P('Raw Data'!D$2:'Raw Data'!D$352)) + ($J$2-($K$2/_xlfn.STDEV.P('Raw Data'!D$2:'Raw Data'!D$352))*AVERAGE('Raw Data'!D$2:'Raw Data'!D$352))</f>
        <v>68.7</v>
      </c>
      <c r="E208" s="52" t="str">
        <f ca="1">IFERROR($J$4+('Raw Data'!H208-MIN('Raw Data'!H$2:'Raw Data'!H$352))*($J$3-$J$4)/(MAX('Raw Data'!H$2:'Raw Data'!H$352)-MIN('Raw Data'!H$2:'Raw Data'!H$352)),"")</f>
        <v/>
      </c>
      <c r="F208" s="52" t="str">
        <f ca="1">IFERROR($J$4+('Raw Data'!I208-MIN('Raw Data'!I$2:'Raw Data'!I$352))*($J$3-$J$4)/(MAX('Raw Data'!I$2:'Raw Data'!I$352)-MIN('Raw Data'!I$2:'Raw Data'!I$352)),"")</f>
        <v/>
      </c>
      <c r="G208" s="52">
        <f ca="1">IF(Bracket!$I$1="Composite",AVERAGE(B208:F208),IF(Bracket!$I$1="Kenpom",B208,IF(Bracket!$I$1="PVA",C208,IF(Bracket!$I$1="Sagarin Predictor",D208,IF(Bracket!$I$1="No Preseason",AVERAGE(B208:D208),"")))))</f>
        <v>68.742551022858905</v>
      </c>
      <c r="H208" s="63">
        <f t="shared" ca="1" si="3"/>
        <v>202</v>
      </c>
      <c r="I208" s="52"/>
      <c r="J208" s="52"/>
      <c r="K208" s="52"/>
    </row>
    <row r="209" spans="1:11" x14ac:dyDescent="0.3">
      <c r="A209" s="52" t="str">
        <f>'Raw Data'!A209</f>
        <v>Cal Poly</v>
      </c>
      <c r="B209" s="52">
        <f ca="1">'Raw Data'!B209*($K$2/_xlfn.STDEV.P('Raw Data'!B$2:'Raw Data'!B$352)) + ($J$2-($K$2/_xlfn.STDEV.P('Raw Data'!B$2:'Raw Data'!B$352))*AVERAGE('Raw Data'!B$2:'Raw Data'!B$352))</f>
        <v>67.704999364870062</v>
      </c>
      <c r="C209" s="52">
        <f ca="1">'Raw Data'!C209*($K$2/_xlfn.STDEV.P('Raw Data'!C$2:'Raw Data'!C$352)) + ($J$2-($K$2/_xlfn.STDEV.P('Raw Data'!C$2:'Raw Data'!C$352))*AVERAGE('Raw Data'!C$2:'Raw Data'!C$352))</f>
        <v>68.283544815954343</v>
      </c>
      <c r="D209" s="52">
        <f ca="1">'Raw Data'!D209*($K$2/_xlfn.STDEV.P('Raw Data'!D$2:'Raw Data'!D$352)) + ($J$2-($K$2/_xlfn.STDEV.P('Raw Data'!D$2:'Raw Data'!D$352))*AVERAGE('Raw Data'!D$2:'Raw Data'!D$352))</f>
        <v>69.45</v>
      </c>
      <c r="E209" s="52" t="str">
        <f ca="1">IFERROR($J$4+('Raw Data'!H209-MIN('Raw Data'!H$2:'Raw Data'!H$352))*($J$3-$J$4)/(MAX('Raw Data'!H$2:'Raw Data'!H$352)-MIN('Raw Data'!H$2:'Raw Data'!H$352)),"")</f>
        <v/>
      </c>
      <c r="F209" s="52" t="str">
        <f ca="1">IFERROR($J$4+('Raw Data'!I209-MIN('Raw Data'!I$2:'Raw Data'!I$352))*($J$3-$J$4)/(MAX('Raw Data'!I$2:'Raw Data'!I$352)-MIN('Raw Data'!I$2:'Raw Data'!I$352)),"")</f>
        <v/>
      </c>
      <c r="G209" s="52">
        <f ca="1">IF(Bracket!$I$1="Composite",AVERAGE(B209:F209),IF(Bracket!$I$1="Kenpom",B209,IF(Bracket!$I$1="PVA",C209,IF(Bracket!$I$1="Sagarin Predictor",D209,IF(Bracket!$I$1="No Preseason",AVERAGE(B209:D209),"")))))</f>
        <v>68.479514726941474</v>
      </c>
      <c r="H209" s="63">
        <f t="shared" ca="1" si="3"/>
        <v>207</v>
      </c>
      <c r="I209" s="52"/>
      <c r="J209" s="52"/>
      <c r="K209" s="52"/>
    </row>
    <row r="210" spans="1:11" x14ac:dyDescent="0.3">
      <c r="A210" s="52" t="str">
        <f>'Raw Data'!A210</f>
        <v>East Carolina</v>
      </c>
      <c r="B210" s="52">
        <f ca="1">'Raw Data'!B210*($K$2/_xlfn.STDEV.P('Raw Data'!B$2:'Raw Data'!B$352)) + ($J$2-($K$2/_xlfn.STDEV.P('Raw Data'!B$2:'Raw Data'!B$352))*AVERAGE('Raw Data'!B$2:'Raw Data'!B$352))</f>
        <v>67.625792997000531</v>
      </c>
      <c r="C210" s="52">
        <f ca="1">'Raw Data'!C210*($K$2/_xlfn.STDEV.P('Raw Data'!C$2:'Raw Data'!C$352)) + ($J$2-($K$2/_xlfn.STDEV.P('Raw Data'!C$2:'Raw Data'!C$352))*AVERAGE('Raw Data'!C$2:'Raw Data'!C$352))</f>
        <v>70.609907876701655</v>
      </c>
      <c r="D210" s="52">
        <f ca="1">'Raw Data'!D210*($K$2/_xlfn.STDEV.P('Raw Data'!D$2:'Raw Data'!D$352)) + ($J$2-($K$2/_xlfn.STDEV.P('Raw Data'!D$2:'Raw Data'!D$352))*AVERAGE('Raw Data'!D$2:'Raw Data'!D$352))</f>
        <v>70.33</v>
      </c>
      <c r="E210" s="52" t="str">
        <f ca="1">IFERROR($J$4+('Raw Data'!H210-MIN('Raw Data'!H$2:'Raw Data'!H$352))*($J$3-$J$4)/(MAX('Raw Data'!H$2:'Raw Data'!H$352)-MIN('Raw Data'!H$2:'Raw Data'!H$352)),"")</f>
        <v/>
      </c>
      <c r="F210" s="52" t="str">
        <f ca="1">IFERROR($J$4+('Raw Data'!I210-MIN('Raw Data'!I$2:'Raw Data'!I$352))*($J$3-$J$4)/(MAX('Raw Data'!I$2:'Raw Data'!I$352)-MIN('Raw Data'!I$2:'Raw Data'!I$352)),"")</f>
        <v/>
      </c>
      <c r="G210" s="52">
        <f ca="1">IF(Bracket!$I$1="Composite",AVERAGE(B210:F210),IF(Bracket!$I$1="Kenpom",B210,IF(Bracket!$I$1="PVA",C210,IF(Bracket!$I$1="Sagarin Predictor",D210,IF(Bracket!$I$1="No Preseason",AVERAGE(B210:D210),"")))))</f>
        <v>69.521900291234047</v>
      </c>
      <c r="H210" s="63">
        <f t="shared" ca="1" si="3"/>
        <v>193</v>
      </c>
      <c r="I210" s="52"/>
      <c r="J210" s="52"/>
      <c r="K210" s="52"/>
    </row>
    <row r="211" spans="1:11" x14ac:dyDescent="0.3">
      <c r="A211" s="52" t="str">
        <f>'Raw Data'!A211</f>
        <v>George Mason</v>
      </c>
      <c r="B211" s="52">
        <f ca="1">'Raw Data'!B211*($K$2/_xlfn.STDEV.P('Raw Data'!B$2:'Raw Data'!B$352)) + ($J$2-($K$2/_xlfn.STDEV.P('Raw Data'!B$2:'Raw Data'!B$352))*AVERAGE('Raw Data'!B$2:'Raw Data'!B$352))</f>
        <v>67.765347073723049</v>
      </c>
      <c r="C211" s="52">
        <f ca="1">'Raw Data'!C211*($K$2/_xlfn.STDEV.P('Raw Data'!C$2:'Raw Data'!C$352)) + ($J$2-($K$2/_xlfn.STDEV.P('Raw Data'!C$2:'Raw Data'!C$352))*AVERAGE('Raw Data'!C$2:'Raw Data'!C$352))</f>
        <v>68.929756777273042</v>
      </c>
      <c r="D211" s="52">
        <f ca="1">'Raw Data'!D211*($K$2/_xlfn.STDEV.P('Raw Data'!D$2:'Raw Data'!D$352)) + ($J$2-($K$2/_xlfn.STDEV.P('Raw Data'!D$2:'Raw Data'!D$352))*AVERAGE('Raw Data'!D$2:'Raw Data'!D$352))</f>
        <v>69.41</v>
      </c>
      <c r="E211" s="52" t="str">
        <f ca="1">IFERROR($J$4+('Raw Data'!H211-MIN('Raw Data'!H$2:'Raw Data'!H$352))*($J$3-$J$4)/(MAX('Raw Data'!H$2:'Raw Data'!H$352)-MIN('Raw Data'!H$2:'Raw Data'!H$352)),"")</f>
        <v/>
      </c>
      <c r="F211" s="52" t="str">
        <f ca="1">IFERROR($J$4+('Raw Data'!I211-MIN('Raw Data'!I$2:'Raw Data'!I$352))*($J$3-$J$4)/(MAX('Raw Data'!I$2:'Raw Data'!I$352)-MIN('Raw Data'!I$2:'Raw Data'!I$352)),"")</f>
        <v/>
      </c>
      <c r="G211" s="52">
        <f ca="1">IF(Bracket!$I$1="Composite",AVERAGE(B211:F211),IF(Bracket!$I$1="Kenpom",B211,IF(Bracket!$I$1="PVA",C211,IF(Bracket!$I$1="Sagarin Predictor",D211,IF(Bracket!$I$1="No Preseason",AVERAGE(B211:D211),"")))))</f>
        <v>68.701701283665358</v>
      </c>
      <c r="H211" s="63">
        <f t="shared" ca="1" si="3"/>
        <v>203</v>
      </c>
      <c r="I211" s="52"/>
      <c r="J211" s="52"/>
      <c r="K211" s="52"/>
    </row>
    <row r="212" spans="1:11" x14ac:dyDescent="0.3">
      <c r="A212" s="52" t="str">
        <f>'Raw Data'!A212</f>
        <v>Florida Gulf Coast</v>
      </c>
      <c r="B212" s="52">
        <f ca="1">'Raw Data'!B212*($K$2/_xlfn.STDEV.P('Raw Data'!B$2:'Raw Data'!B$352)) + ($J$2-($K$2/_xlfn.STDEV.P('Raw Data'!B$2:'Raw Data'!B$352))*AVERAGE('Raw Data'!B$2:'Raw Data'!B$352))</f>
        <v>72.053806134088006</v>
      </c>
      <c r="C212" s="52">
        <f ca="1">'Raw Data'!C212*($K$2/_xlfn.STDEV.P('Raw Data'!C$2:'Raw Data'!C$352)) + ($J$2-($K$2/_xlfn.STDEV.P('Raw Data'!C$2:'Raw Data'!C$352))*AVERAGE('Raw Data'!C$2:'Raw Data'!C$352))</f>
        <v>70.222180699910439</v>
      </c>
      <c r="D212" s="52">
        <f ca="1">'Raw Data'!D212*($K$2/_xlfn.STDEV.P('Raw Data'!D$2:'Raw Data'!D$352)) + ($J$2-($K$2/_xlfn.STDEV.P('Raw Data'!D$2:'Raw Data'!D$352))*AVERAGE('Raw Data'!D$2:'Raw Data'!D$352))</f>
        <v>71.22</v>
      </c>
      <c r="E212" s="52" t="str">
        <f ca="1">IFERROR($J$4+('Raw Data'!H212-MIN('Raw Data'!H$2:'Raw Data'!H$352))*($J$3-$J$4)/(MAX('Raw Data'!H$2:'Raw Data'!H$352)-MIN('Raw Data'!H$2:'Raw Data'!H$352)),"")</f>
        <v/>
      </c>
      <c r="F212" s="52" t="str">
        <f ca="1">IFERROR($J$4+('Raw Data'!I212-MIN('Raw Data'!I$2:'Raw Data'!I$352))*($J$3-$J$4)/(MAX('Raw Data'!I$2:'Raw Data'!I$352)-MIN('Raw Data'!I$2:'Raw Data'!I$352)),"")</f>
        <v/>
      </c>
      <c r="G212" s="52">
        <f ca="1">IF(Bracket!$I$1="Composite",AVERAGE(B212:F212),IF(Bracket!$I$1="Kenpom",B212,IF(Bracket!$I$1="PVA",C212,IF(Bracket!$I$1="Sagarin Predictor",D212,IF(Bracket!$I$1="No Preseason",AVERAGE(B212:D212),"")))))</f>
        <v>71.165328944666143</v>
      </c>
      <c r="H212" s="63">
        <f t="shared" ca="1" si="3"/>
        <v>171</v>
      </c>
      <c r="I212" s="52"/>
      <c r="J212" s="52"/>
      <c r="K212" s="52"/>
    </row>
    <row r="213" spans="1:11" x14ac:dyDescent="0.3">
      <c r="A213" s="52" t="str">
        <f>'Raw Data'!A213</f>
        <v>South Dakota</v>
      </c>
      <c r="B213" s="52">
        <f ca="1">'Raw Data'!B213*($K$2/_xlfn.STDEV.P('Raw Data'!B$2:'Raw Data'!B$352)) + ($J$2-($K$2/_xlfn.STDEV.P('Raw Data'!B$2:'Raw Data'!B$352))*AVERAGE('Raw Data'!B$2:'Raw Data'!B$352))</f>
        <v>67.07512015371708</v>
      </c>
      <c r="C213" s="52">
        <f ca="1">'Raw Data'!C213*($K$2/_xlfn.STDEV.P('Raw Data'!C$2:'Raw Data'!C$352)) + ($J$2-($K$2/_xlfn.STDEV.P('Raw Data'!C$2:'Raw Data'!C$352))*AVERAGE('Raw Data'!C$2:'Raw Data'!C$352))</f>
        <v>67.508090462371896</v>
      </c>
      <c r="D213" s="52">
        <f ca="1">'Raw Data'!D213*($K$2/_xlfn.STDEV.P('Raw Data'!D$2:'Raw Data'!D$352)) + ($J$2-($K$2/_xlfn.STDEV.P('Raw Data'!D$2:'Raw Data'!D$352))*AVERAGE('Raw Data'!D$2:'Raw Data'!D$352))</f>
        <v>67.59</v>
      </c>
      <c r="E213" s="52" t="str">
        <f ca="1">IFERROR($J$4+('Raw Data'!H213-MIN('Raw Data'!H$2:'Raw Data'!H$352))*($J$3-$J$4)/(MAX('Raw Data'!H$2:'Raw Data'!H$352)-MIN('Raw Data'!H$2:'Raw Data'!H$352)),"")</f>
        <v/>
      </c>
      <c r="F213" s="52" t="str">
        <f ca="1">IFERROR($J$4+('Raw Data'!I213-MIN('Raw Data'!I$2:'Raw Data'!I$352))*($J$3-$J$4)/(MAX('Raw Data'!I$2:'Raw Data'!I$352)-MIN('Raw Data'!I$2:'Raw Data'!I$352)),"")</f>
        <v/>
      </c>
      <c r="G213" s="52">
        <f ca="1">IF(Bracket!$I$1="Composite",AVERAGE(B213:F213),IF(Bracket!$I$1="Kenpom",B213,IF(Bracket!$I$1="PVA",C213,IF(Bracket!$I$1="Sagarin Predictor",D213,IF(Bracket!$I$1="No Preseason",AVERAGE(B213:D213),"")))))</f>
        <v>67.391070205362993</v>
      </c>
      <c r="H213" s="63">
        <f t="shared" ca="1" si="3"/>
        <v>222</v>
      </c>
      <c r="I213" s="52"/>
      <c r="J213" s="52"/>
      <c r="K213" s="52"/>
    </row>
    <row r="214" spans="1:11" x14ac:dyDescent="0.3">
      <c r="A214" s="52" t="str">
        <f>'Raw Data'!A214</f>
        <v>Boston U</v>
      </c>
      <c r="B214" s="52">
        <f ca="1">'Raw Data'!B214*($K$2/_xlfn.STDEV.P('Raw Data'!B$2:'Raw Data'!B$352)) + ($J$2-($K$2/_xlfn.STDEV.P('Raw Data'!B$2:'Raw Data'!B$352))*AVERAGE('Raw Data'!B$2:'Raw Data'!B$352))</f>
        <v>67.523956238311115</v>
      </c>
      <c r="C214" s="52">
        <f ca="1">'Raw Data'!C214*($K$2/_xlfn.STDEV.P('Raw Data'!C$2:'Raw Data'!C$352)) + ($J$2-($K$2/_xlfn.STDEV.P('Raw Data'!C$2:'Raw Data'!C$352))*AVERAGE('Raw Data'!C$2:'Raw Data'!C$352))</f>
        <v>67.508090462371896</v>
      </c>
      <c r="D214" s="52">
        <f ca="1">'Raw Data'!D214*($K$2/_xlfn.STDEV.P('Raw Data'!D$2:'Raw Data'!D$352)) + ($J$2-($K$2/_xlfn.STDEV.P('Raw Data'!D$2:'Raw Data'!D$352))*AVERAGE('Raw Data'!D$2:'Raw Data'!D$352))</f>
        <v>67.819999999999993</v>
      </c>
      <c r="E214" s="52" t="str">
        <f ca="1">IFERROR($J$4+('Raw Data'!H214-MIN('Raw Data'!H$2:'Raw Data'!H$352))*($J$3-$J$4)/(MAX('Raw Data'!H$2:'Raw Data'!H$352)-MIN('Raw Data'!H$2:'Raw Data'!H$352)),"")</f>
        <v/>
      </c>
      <c r="F214" s="52" t="str">
        <f ca="1">IFERROR($J$4+('Raw Data'!I214-MIN('Raw Data'!I$2:'Raw Data'!I$352))*($J$3-$J$4)/(MAX('Raw Data'!I$2:'Raw Data'!I$352)-MIN('Raw Data'!I$2:'Raw Data'!I$352)),"")</f>
        <v/>
      </c>
      <c r="G214" s="52">
        <f ca="1">IF(Bracket!$I$1="Composite",AVERAGE(B214:F214),IF(Bracket!$I$1="Kenpom",B214,IF(Bracket!$I$1="PVA",C214,IF(Bracket!$I$1="Sagarin Predictor",D214,IF(Bracket!$I$1="No Preseason",AVERAGE(B214:D214),"")))))</f>
        <v>67.617348900227668</v>
      </c>
      <c r="H214" s="63">
        <f t="shared" ca="1" si="3"/>
        <v>218</v>
      </c>
      <c r="I214" s="52"/>
      <c r="J214" s="52"/>
      <c r="K214" s="52"/>
    </row>
    <row r="215" spans="1:11" x14ac:dyDescent="0.3">
      <c r="A215" s="52" t="str">
        <f>'Raw Data'!A215</f>
        <v>Idaho</v>
      </c>
      <c r="B215" s="52">
        <f ca="1">'Raw Data'!B215*($K$2/_xlfn.STDEV.P('Raw Data'!B$2:'Raw Data'!B$352)) + ($J$2-($K$2/_xlfn.STDEV.P('Raw Data'!B$2:'Raw Data'!B$352))*AVERAGE('Raw Data'!B$2:'Raw Data'!B$352))</f>
        <v>67.70122763306675</v>
      </c>
      <c r="C215" s="52">
        <f ca="1">'Raw Data'!C215*($K$2/_xlfn.STDEV.P('Raw Data'!C$2:'Raw Data'!C$352)) + ($J$2-($K$2/_xlfn.STDEV.P('Raw Data'!C$2:'Raw Data'!C$352))*AVERAGE('Raw Data'!C$2:'Raw Data'!C$352))</f>
        <v>68.542029600481811</v>
      </c>
      <c r="D215" s="52">
        <f ca="1">'Raw Data'!D215*($K$2/_xlfn.STDEV.P('Raw Data'!D$2:'Raw Data'!D$352)) + ($J$2-($K$2/_xlfn.STDEV.P('Raw Data'!D$2:'Raw Data'!D$352))*AVERAGE('Raw Data'!D$2:'Raw Data'!D$352))</f>
        <v>67.739999999999995</v>
      </c>
      <c r="E215" s="52" t="str">
        <f ca="1">IFERROR($J$4+('Raw Data'!H215-MIN('Raw Data'!H$2:'Raw Data'!H$352))*($J$3-$J$4)/(MAX('Raw Data'!H$2:'Raw Data'!H$352)-MIN('Raw Data'!H$2:'Raw Data'!H$352)),"")</f>
        <v/>
      </c>
      <c r="F215" s="52" t="str">
        <f ca="1">IFERROR($J$4+('Raw Data'!I215-MIN('Raw Data'!I$2:'Raw Data'!I$352))*($J$3-$J$4)/(MAX('Raw Data'!I$2:'Raw Data'!I$352)-MIN('Raw Data'!I$2:'Raw Data'!I$352)),"")</f>
        <v/>
      </c>
      <c r="G215" s="52">
        <f ca="1">IF(Bracket!$I$1="Composite",AVERAGE(B215:F215),IF(Bracket!$I$1="Kenpom",B215,IF(Bracket!$I$1="PVA",C215,IF(Bracket!$I$1="Sagarin Predictor",D215,IF(Bracket!$I$1="No Preseason",AVERAGE(B215:D215),"")))))</f>
        <v>67.994419077849514</v>
      </c>
      <c r="H215" s="63">
        <f t="shared" ca="1" si="3"/>
        <v>211</v>
      </c>
      <c r="I215" s="52"/>
      <c r="J215" s="52"/>
      <c r="K215" s="52"/>
    </row>
    <row r="216" spans="1:11" x14ac:dyDescent="0.3">
      <c r="A216" s="52" t="str">
        <f>'Raw Data'!A216</f>
        <v>Portland</v>
      </c>
      <c r="B216" s="52">
        <f ca="1">'Raw Data'!B216*($K$2/_xlfn.STDEV.P('Raw Data'!B$2:'Raw Data'!B$352)) + ($J$2-($K$2/_xlfn.STDEV.P('Raw Data'!B$2:'Raw Data'!B$352))*AVERAGE('Raw Data'!B$2:'Raw Data'!B$352))</f>
        <v>67.33914137994887</v>
      </c>
      <c r="C216" s="52">
        <f ca="1">'Raw Data'!C216*($K$2/_xlfn.STDEV.P('Raw Data'!C$2:'Raw Data'!C$352)) + ($J$2-($K$2/_xlfn.STDEV.P('Raw Data'!C$2:'Raw Data'!C$352))*AVERAGE('Raw Data'!C$2:'Raw Data'!C$352))</f>
        <v>68.412787208218077</v>
      </c>
      <c r="D216" s="52">
        <f ca="1">'Raw Data'!D216*($K$2/_xlfn.STDEV.P('Raw Data'!D$2:'Raw Data'!D$352)) + ($J$2-($K$2/_xlfn.STDEV.P('Raw Data'!D$2:'Raw Data'!D$352))*AVERAGE('Raw Data'!D$2:'Raw Data'!D$352))</f>
        <v>69.91</v>
      </c>
      <c r="E216" s="52" t="str">
        <f ca="1">IFERROR($J$4+('Raw Data'!H216-MIN('Raw Data'!H$2:'Raw Data'!H$352))*($J$3-$J$4)/(MAX('Raw Data'!H$2:'Raw Data'!H$352)-MIN('Raw Data'!H$2:'Raw Data'!H$352)),"")</f>
        <v/>
      </c>
      <c r="F216" s="52" t="str">
        <f ca="1">IFERROR($J$4+('Raw Data'!I216-MIN('Raw Data'!I$2:'Raw Data'!I$352))*($J$3-$J$4)/(MAX('Raw Data'!I$2:'Raw Data'!I$352)-MIN('Raw Data'!I$2:'Raw Data'!I$352)),"")</f>
        <v/>
      </c>
      <c r="G216" s="52">
        <f ca="1">IF(Bracket!$I$1="Composite",AVERAGE(B216:F216),IF(Bracket!$I$1="Kenpom",B216,IF(Bracket!$I$1="PVA",C216,IF(Bracket!$I$1="Sagarin Predictor",D216,IF(Bracket!$I$1="No Preseason",AVERAGE(B216:D216),"")))))</f>
        <v>68.553976196055643</v>
      </c>
      <c r="H216" s="63">
        <f t="shared" ca="1" si="3"/>
        <v>205</v>
      </c>
      <c r="I216" s="52"/>
      <c r="J216" s="52"/>
      <c r="K216" s="52"/>
    </row>
    <row r="217" spans="1:11" x14ac:dyDescent="0.3">
      <c r="A217" s="52" t="str">
        <f>'Raw Data'!A217</f>
        <v>Radford</v>
      </c>
      <c r="B217" s="52">
        <f ca="1">'Raw Data'!B217*($K$2/_xlfn.STDEV.P('Raw Data'!B$2:'Raw Data'!B$352)) + ($J$2-($K$2/_xlfn.STDEV.P('Raw Data'!B$2:'Raw Data'!B$352))*AVERAGE('Raw Data'!B$2:'Raw Data'!B$352))</f>
        <v>66.490501724203824</v>
      </c>
      <c r="C217" s="52">
        <f ca="1">'Raw Data'!C217*($K$2/_xlfn.STDEV.P('Raw Data'!C$2:'Raw Data'!C$352)) + ($J$2-($K$2/_xlfn.STDEV.P('Raw Data'!C$2:'Raw Data'!C$352))*AVERAGE('Raw Data'!C$2:'Raw Data'!C$352))</f>
        <v>68.929756777273042</v>
      </c>
      <c r="D217" s="52">
        <f ca="1">'Raw Data'!D217*($K$2/_xlfn.STDEV.P('Raw Data'!D$2:'Raw Data'!D$352)) + ($J$2-($K$2/_xlfn.STDEV.P('Raw Data'!D$2:'Raw Data'!D$352))*AVERAGE('Raw Data'!D$2:'Raw Data'!D$352))</f>
        <v>67.430000000000007</v>
      </c>
      <c r="E217" s="52" t="str">
        <f ca="1">IFERROR($J$4+('Raw Data'!H217-MIN('Raw Data'!H$2:'Raw Data'!H$352))*($J$3-$J$4)/(MAX('Raw Data'!H$2:'Raw Data'!H$352)-MIN('Raw Data'!H$2:'Raw Data'!H$352)),"")</f>
        <v/>
      </c>
      <c r="F217" s="52" t="str">
        <f ca="1">IFERROR($J$4+('Raw Data'!I217-MIN('Raw Data'!I$2:'Raw Data'!I$352))*($J$3-$J$4)/(MAX('Raw Data'!I$2:'Raw Data'!I$352)-MIN('Raw Data'!I$2:'Raw Data'!I$352)),"")</f>
        <v/>
      </c>
      <c r="G217" s="52">
        <f ca="1">IF(Bracket!$I$1="Composite",AVERAGE(B217:F217),IF(Bracket!$I$1="Kenpom",B217,IF(Bracket!$I$1="PVA",C217,IF(Bracket!$I$1="Sagarin Predictor",D217,IF(Bracket!$I$1="No Preseason",AVERAGE(B217:D217),"")))))</f>
        <v>67.616752833825629</v>
      </c>
      <c r="H217" s="63">
        <f t="shared" ca="1" si="3"/>
        <v>219</v>
      </c>
      <c r="I217" s="52"/>
      <c r="J217" s="52"/>
      <c r="K217" s="52"/>
    </row>
    <row r="218" spans="1:11" x14ac:dyDescent="0.3">
      <c r="A218" s="52" t="str">
        <f>'Raw Data'!A218</f>
        <v>UT Martin</v>
      </c>
      <c r="B218" s="52">
        <f ca="1">'Raw Data'!B218*($K$2/_xlfn.STDEV.P('Raw Data'!B$2:'Raw Data'!B$352)) + ($J$2-($K$2/_xlfn.STDEV.P('Raw Data'!B$2:'Raw Data'!B$352))*AVERAGE('Raw Data'!B$2:'Raw Data'!B$352))</f>
        <v>68.689421365534315</v>
      </c>
      <c r="C218" s="52">
        <f ca="1">'Raw Data'!C218*($K$2/_xlfn.STDEV.P('Raw Data'!C$2:'Raw Data'!C$352)) + ($J$2-($K$2/_xlfn.STDEV.P('Raw Data'!C$2:'Raw Data'!C$352))*AVERAGE('Raw Data'!C$2:'Raw Data'!C$352))</f>
        <v>68.412787208218077</v>
      </c>
      <c r="D218" s="52">
        <f ca="1">'Raw Data'!D218*($K$2/_xlfn.STDEV.P('Raw Data'!D$2:'Raw Data'!D$352)) + ($J$2-($K$2/_xlfn.STDEV.P('Raw Data'!D$2:'Raw Data'!D$352))*AVERAGE('Raw Data'!D$2:'Raw Data'!D$352))</f>
        <v>67.7</v>
      </c>
      <c r="E218" s="52" t="str">
        <f ca="1">IFERROR($J$4+('Raw Data'!H218-MIN('Raw Data'!H$2:'Raw Data'!H$352))*($J$3-$J$4)/(MAX('Raw Data'!H$2:'Raw Data'!H$352)-MIN('Raw Data'!H$2:'Raw Data'!H$352)),"")</f>
        <v/>
      </c>
      <c r="F218" s="52" t="str">
        <f ca="1">IFERROR($J$4+('Raw Data'!I218-MIN('Raw Data'!I$2:'Raw Data'!I$352))*($J$3-$J$4)/(MAX('Raw Data'!I$2:'Raw Data'!I$352)-MIN('Raw Data'!I$2:'Raw Data'!I$352)),"")</f>
        <v/>
      </c>
      <c r="G218" s="52">
        <f ca="1">IF(Bracket!$I$1="Composite",AVERAGE(B218:F218),IF(Bracket!$I$1="Kenpom",B218,IF(Bracket!$I$1="PVA",C218,IF(Bracket!$I$1="Sagarin Predictor",D218,IF(Bracket!$I$1="No Preseason",AVERAGE(B218:D218),"")))))</f>
        <v>68.267402857917475</v>
      </c>
      <c r="H218" s="63">
        <f t="shared" ca="1" si="3"/>
        <v>209</v>
      </c>
      <c r="I218" s="52"/>
      <c r="J218" s="52"/>
      <c r="K218" s="52"/>
    </row>
    <row r="219" spans="1:11" x14ac:dyDescent="0.3">
      <c r="A219" s="52" t="str">
        <f>'Raw Data'!A219</f>
        <v>FIU</v>
      </c>
      <c r="B219" s="52">
        <f ca="1">'Raw Data'!B219*($K$2/_xlfn.STDEV.P('Raw Data'!B$2:'Raw Data'!B$352)) + ($J$2-($K$2/_xlfn.STDEV.P('Raw Data'!B$2:'Raw Data'!B$352))*AVERAGE('Raw Data'!B$2:'Raw Data'!B$352))</f>
        <v>66.562164628466732</v>
      </c>
      <c r="C219" s="52">
        <f ca="1">'Raw Data'!C219*($K$2/_xlfn.STDEV.P('Raw Data'!C$2:'Raw Data'!C$352)) + ($J$2-($K$2/_xlfn.STDEV.P('Raw Data'!C$2:'Raw Data'!C$352))*AVERAGE('Raw Data'!C$2:'Raw Data'!C$352))</f>
        <v>67.249605677844414</v>
      </c>
      <c r="D219" s="52">
        <f ca="1">'Raw Data'!D219*($K$2/_xlfn.STDEV.P('Raw Data'!D$2:'Raw Data'!D$352)) + ($J$2-($K$2/_xlfn.STDEV.P('Raw Data'!D$2:'Raw Data'!D$352))*AVERAGE('Raw Data'!D$2:'Raw Data'!D$352))</f>
        <v>67.67</v>
      </c>
      <c r="E219" s="52" t="str">
        <f ca="1">IFERROR($J$4+('Raw Data'!H219-MIN('Raw Data'!H$2:'Raw Data'!H$352))*($J$3-$J$4)/(MAX('Raw Data'!H$2:'Raw Data'!H$352)-MIN('Raw Data'!H$2:'Raw Data'!H$352)),"")</f>
        <v/>
      </c>
      <c r="F219" s="52" t="str">
        <f ca="1">IFERROR($J$4+('Raw Data'!I219-MIN('Raw Data'!I$2:'Raw Data'!I$352))*($J$3-$J$4)/(MAX('Raw Data'!I$2:'Raw Data'!I$352)-MIN('Raw Data'!I$2:'Raw Data'!I$352)),"")</f>
        <v/>
      </c>
      <c r="G219" s="52">
        <f ca="1">IF(Bracket!$I$1="Composite",AVERAGE(B219:F219),IF(Bracket!$I$1="Kenpom",B219,IF(Bracket!$I$1="PVA",C219,IF(Bracket!$I$1="Sagarin Predictor",D219,IF(Bracket!$I$1="No Preseason",AVERAGE(B219:D219),"")))))</f>
        <v>67.160590102103711</v>
      </c>
      <c r="H219" s="63">
        <f t="shared" ca="1" si="3"/>
        <v>227</v>
      </c>
      <c r="I219" s="52"/>
      <c r="J219" s="52"/>
      <c r="K219" s="52"/>
    </row>
    <row r="220" spans="1:11" x14ac:dyDescent="0.3">
      <c r="A220" s="52" t="str">
        <f>'Raw Data'!A220</f>
        <v>UC Riverside</v>
      </c>
      <c r="B220" s="52">
        <f ca="1">'Raw Data'!B220*($K$2/_xlfn.STDEV.P('Raw Data'!B$2:'Raw Data'!B$352)) + ($J$2-($K$2/_xlfn.STDEV.P('Raw Data'!B$2:'Raw Data'!B$352))*AVERAGE('Raw Data'!B$2:'Raw Data'!B$352))</f>
        <v>66.731892559615744</v>
      </c>
      <c r="C220" s="52">
        <f ca="1">'Raw Data'!C220*($K$2/_xlfn.STDEV.P('Raw Data'!C$2:'Raw Data'!C$352)) + ($J$2-($K$2/_xlfn.STDEV.P('Raw Data'!C$2:'Raw Data'!C$352))*AVERAGE('Raw Data'!C$2:'Raw Data'!C$352))</f>
        <v>66.474151324261982</v>
      </c>
      <c r="D220" s="52">
        <f ca="1">'Raw Data'!D220*($K$2/_xlfn.STDEV.P('Raw Data'!D$2:'Raw Data'!D$352)) + ($J$2-($K$2/_xlfn.STDEV.P('Raw Data'!D$2:'Raw Data'!D$352))*AVERAGE('Raw Data'!D$2:'Raw Data'!D$352))</f>
        <v>67.33</v>
      </c>
      <c r="E220" s="52" t="str">
        <f ca="1">IFERROR($J$4+('Raw Data'!H220-MIN('Raw Data'!H$2:'Raw Data'!H$352))*($J$3-$J$4)/(MAX('Raw Data'!H$2:'Raw Data'!H$352)-MIN('Raw Data'!H$2:'Raw Data'!H$352)),"")</f>
        <v/>
      </c>
      <c r="F220" s="52" t="str">
        <f ca="1">IFERROR($J$4+('Raw Data'!I220-MIN('Raw Data'!I$2:'Raw Data'!I$352))*($J$3-$J$4)/(MAX('Raw Data'!I$2:'Raw Data'!I$352)-MIN('Raw Data'!I$2:'Raw Data'!I$352)),"")</f>
        <v/>
      </c>
      <c r="G220" s="52">
        <f ca="1">IF(Bracket!$I$1="Composite",AVERAGE(B220:F220),IF(Bracket!$I$1="Kenpom",B220,IF(Bracket!$I$1="PVA",C220,IF(Bracket!$I$1="Sagarin Predictor",D220,IF(Bracket!$I$1="No Preseason",AVERAGE(B220:D220),"")))))</f>
        <v>66.845347961292575</v>
      </c>
      <c r="H220" s="63">
        <f t="shared" ca="1" si="3"/>
        <v>235</v>
      </c>
      <c r="I220" s="52"/>
      <c r="J220" s="52"/>
      <c r="K220" s="52"/>
    </row>
    <row r="221" spans="1:11" x14ac:dyDescent="0.3">
      <c r="A221" s="52" t="str">
        <f>'Raw Data'!A221</f>
        <v>Bowling Green</v>
      </c>
      <c r="B221" s="52">
        <f ca="1">'Raw Data'!B221*($K$2/_xlfn.STDEV.P('Raw Data'!B$2:'Raw Data'!B$352)) + ($J$2-($K$2/_xlfn.STDEV.P('Raw Data'!B$2:'Raw Data'!B$352))*AVERAGE('Raw Data'!B$2:'Raw Data'!B$352))</f>
        <v>67.188272107816417</v>
      </c>
      <c r="C221" s="52">
        <f ca="1">'Raw Data'!C221*($K$2/_xlfn.STDEV.P('Raw Data'!C$2:'Raw Data'!C$352)) + ($J$2-($K$2/_xlfn.STDEV.P('Raw Data'!C$2:'Raw Data'!C$352))*AVERAGE('Raw Data'!C$2:'Raw Data'!C$352))</f>
        <v>68.025060031426861</v>
      </c>
      <c r="D221" s="52">
        <f ca="1">'Raw Data'!D221*($K$2/_xlfn.STDEV.P('Raw Data'!D$2:'Raw Data'!D$352)) + ($J$2-($K$2/_xlfn.STDEV.P('Raw Data'!D$2:'Raw Data'!D$352))*AVERAGE('Raw Data'!D$2:'Raw Data'!D$352))</f>
        <v>66.959999999999994</v>
      </c>
      <c r="E221" s="52" t="str">
        <f ca="1">IFERROR($J$4+('Raw Data'!H221-MIN('Raw Data'!H$2:'Raw Data'!H$352))*($J$3-$J$4)/(MAX('Raw Data'!H$2:'Raw Data'!H$352)-MIN('Raw Data'!H$2:'Raw Data'!H$352)),"")</f>
        <v/>
      </c>
      <c r="F221" s="52" t="str">
        <f ca="1">IFERROR($J$4+('Raw Data'!I221-MIN('Raw Data'!I$2:'Raw Data'!I$352))*($J$3-$J$4)/(MAX('Raw Data'!I$2:'Raw Data'!I$352)-MIN('Raw Data'!I$2:'Raw Data'!I$352)),"")</f>
        <v/>
      </c>
      <c r="G221" s="52">
        <f ca="1">IF(Bracket!$I$1="Composite",AVERAGE(B221:F221),IF(Bracket!$I$1="Kenpom",B221,IF(Bracket!$I$1="PVA",C221,IF(Bracket!$I$1="Sagarin Predictor",D221,IF(Bracket!$I$1="No Preseason",AVERAGE(B221:D221),"")))))</f>
        <v>67.39111071308109</v>
      </c>
      <c r="H221" s="63">
        <f t="shared" ca="1" si="3"/>
        <v>221</v>
      </c>
      <c r="I221" s="52"/>
      <c r="J221" s="52"/>
      <c r="K221" s="52"/>
    </row>
    <row r="222" spans="1:11" x14ac:dyDescent="0.3">
      <c r="A222" s="52" t="str">
        <f>'Raw Data'!A222</f>
        <v>Army</v>
      </c>
      <c r="B222" s="52">
        <f ca="1">'Raw Data'!B222*($K$2/_xlfn.STDEV.P('Raw Data'!B$2:'Raw Data'!B$352)) + ($J$2-($K$2/_xlfn.STDEV.P('Raw Data'!B$2:'Raw Data'!B$352))*AVERAGE('Raw Data'!B$2:'Raw Data'!B$352))</f>
        <v>64.846026657960095</v>
      </c>
      <c r="C222" s="52">
        <f ca="1">'Raw Data'!C222*($K$2/_xlfn.STDEV.P('Raw Data'!C$2:'Raw Data'!C$352)) + ($J$2-($K$2/_xlfn.STDEV.P('Raw Data'!C$2:'Raw Data'!C$352))*AVERAGE('Raw Data'!C$2:'Raw Data'!C$352))</f>
        <v>68.025060031426861</v>
      </c>
      <c r="D222" s="52">
        <f ca="1">'Raw Data'!D222*($K$2/_xlfn.STDEV.P('Raw Data'!D$2:'Raw Data'!D$352)) + ($J$2-($K$2/_xlfn.STDEV.P('Raw Data'!D$2:'Raw Data'!D$352))*AVERAGE('Raw Data'!D$2:'Raw Data'!D$352))</f>
        <v>66.849999999999994</v>
      </c>
      <c r="E222" s="52" t="str">
        <f ca="1">IFERROR($J$4+('Raw Data'!H222-MIN('Raw Data'!H$2:'Raw Data'!H$352))*($J$3-$J$4)/(MAX('Raw Data'!H$2:'Raw Data'!H$352)-MIN('Raw Data'!H$2:'Raw Data'!H$352)),"")</f>
        <v/>
      </c>
      <c r="F222" s="52" t="str">
        <f ca="1">IFERROR($J$4+('Raw Data'!I222-MIN('Raw Data'!I$2:'Raw Data'!I$352))*($J$3-$J$4)/(MAX('Raw Data'!I$2:'Raw Data'!I$352)-MIN('Raw Data'!I$2:'Raw Data'!I$352)),"")</f>
        <v/>
      </c>
      <c r="G222" s="52">
        <f ca="1">IF(Bracket!$I$1="Composite",AVERAGE(B222:F222),IF(Bracket!$I$1="Kenpom",B222,IF(Bracket!$I$1="PVA",C222,IF(Bracket!$I$1="Sagarin Predictor",D222,IF(Bracket!$I$1="No Preseason",AVERAGE(B222:D222),"")))))</f>
        <v>66.573695563128993</v>
      </c>
      <c r="H222" s="63">
        <f t="shared" ca="1" si="3"/>
        <v>239</v>
      </c>
      <c r="I222" s="52"/>
      <c r="J222" s="52"/>
      <c r="K222" s="52"/>
    </row>
    <row r="223" spans="1:11" x14ac:dyDescent="0.3">
      <c r="A223" s="52" t="str">
        <f>'Raw Data'!A223</f>
        <v>Samford</v>
      </c>
      <c r="B223" s="52">
        <f ca="1">'Raw Data'!B223*($K$2/_xlfn.STDEV.P('Raw Data'!B$2:'Raw Data'!B$352)) + ($J$2-($K$2/_xlfn.STDEV.P('Raw Data'!B$2:'Raw Data'!B$352))*AVERAGE('Raw Data'!B$2:'Raw Data'!B$352))</f>
        <v>66.814870659288601</v>
      </c>
      <c r="C223" s="52">
        <f ca="1">'Raw Data'!C223*($K$2/_xlfn.STDEV.P('Raw Data'!C$2:'Raw Data'!C$352)) + ($J$2-($K$2/_xlfn.STDEV.P('Raw Data'!C$2:'Raw Data'!C$352))*AVERAGE('Raw Data'!C$2:'Raw Data'!C$352))</f>
        <v>66.991120893316946</v>
      </c>
      <c r="D223" s="52">
        <f ca="1">'Raw Data'!D223*($K$2/_xlfn.STDEV.P('Raw Data'!D$2:'Raw Data'!D$352)) + ($J$2-($K$2/_xlfn.STDEV.P('Raw Data'!D$2:'Raw Data'!D$352))*AVERAGE('Raw Data'!D$2:'Raw Data'!D$352))</f>
        <v>66.930000000000007</v>
      </c>
      <c r="E223" s="52" t="str">
        <f ca="1">IFERROR($J$4+('Raw Data'!H223-MIN('Raw Data'!H$2:'Raw Data'!H$352))*($J$3-$J$4)/(MAX('Raw Data'!H$2:'Raw Data'!H$352)-MIN('Raw Data'!H$2:'Raw Data'!H$352)),"")</f>
        <v/>
      </c>
      <c r="F223" s="52" t="str">
        <f ca="1">IFERROR($J$4+('Raw Data'!I223-MIN('Raw Data'!I$2:'Raw Data'!I$352))*($J$3-$J$4)/(MAX('Raw Data'!I$2:'Raw Data'!I$352)-MIN('Raw Data'!I$2:'Raw Data'!I$352)),"")</f>
        <v/>
      </c>
      <c r="G223" s="52">
        <f ca="1">IF(Bracket!$I$1="Composite",AVERAGE(B223:F223),IF(Bracket!$I$1="Kenpom",B223,IF(Bracket!$I$1="PVA",C223,IF(Bracket!$I$1="Sagarin Predictor",D223,IF(Bracket!$I$1="No Preseason",AVERAGE(B223:D223),"")))))</f>
        <v>66.911997184201851</v>
      </c>
      <c r="H223" s="63">
        <f t="shared" ca="1" si="3"/>
        <v>234</v>
      </c>
      <c r="I223" s="52"/>
      <c r="J223" s="52"/>
      <c r="K223" s="52"/>
    </row>
    <row r="224" spans="1:11" x14ac:dyDescent="0.3">
      <c r="A224" s="52" t="str">
        <f>'Raw Data'!A224</f>
        <v>Dartmouth</v>
      </c>
      <c r="B224" s="52">
        <f ca="1">'Raw Data'!B224*($K$2/_xlfn.STDEV.P('Raw Data'!B$2:'Raw Data'!B$352)) + ($J$2-($K$2/_xlfn.STDEV.P('Raw Data'!B$2:'Raw Data'!B$352))*AVERAGE('Raw Data'!B$2:'Raw Data'!B$352))</f>
        <v>66.528219042236941</v>
      </c>
      <c r="C224" s="52">
        <f ca="1">'Raw Data'!C224*($K$2/_xlfn.STDEV.P('Raw Data'!C$2:'Raw Data'!C$352)) + ($J$2-($K$2/_xlfn.STDEV.P('Raw Data'!C$2:'Raw Data'!C$352))*AVERAGE('Raw Data'!C$2:'Raw Data'!C$352))</f>
        <v>66.861878501053198</v>
      </c>
      <c r="D224" s="52">
        <f ca="1">'Raw Data'!D224*($K$2/_xlfn.STDEV.P('Raw Data'!D$2:'Raw Data'!D$352)) + ($J$2-($K$2/_xlfn.STDEV.P('Raw Data'!D$2:'Raw Data'!D$352))*AVERAGE('Raw Data'!D$2:'Raw Data'!D$352))</f>
        <v>67.61</v>
      </c>
      <c r="E224" s="52" t="str">
        <f ca="1">IFERROR($J$4+('Raw Data'!H224-MIN('Raw Data'!H$2:'Raw Data'!H$352))*($J$3-$J$4)/(MAX('Raw Data'!H$2:'Raw Data'!H$352)-MIN('Raw Data'!H$2:'Raw Data'!H$352)),"")</f>
        <v/>
      </c>
      <c r="F224" s="52" t="str">
        <f ca="1">IFERROR($J$4+('Raw Data'!I224-MIN('Raw Data'!I$2:'Raw Data'!I$352))*($J$3-$J$4)/(MAX('Raw Data'!I$2:'Raw Data'!I$352)-MIN('Raw Data'!I$2:'Raw Data'!I$352)),"")</f>
        <v/>
      </c>
      <c r="G224" s="52">
        <f ca="1">IF(Bracket!$I$1="Composite",AVERAGE(B224:F224),IF(Bracket!$I$1="Kenpom",B224,IF(Bracket!$I$1="PVA",C224,IF(Bracket!$I$1="Sagarin Predictor",D224,IF(Bracket!$I$1="No Preseason",AVERAGE(B224:D224),"")))))</f>
        <v>67.00003251443006</v>
      </c>
      <c r="H224" s="63">
        <f t="shared" ca="1" si="3"/>
        <v>231</v>
      </c>
      <c r="I224" s="52"/>
      <c r="J224" s="52"/>
      <c r="K224" s="52"/>
    </row>
    <row r="225" spans="1:11" x14ac:dyDescent="0.3">
      <c r="A225" s="52" t="str">
        <f>'Raw Data'!A225</f>
        <v>Tulane</v>
      </c>
      <c r="B225" s="52">
        <f ca="1">'Raw Data'!B225*($K$2/_xlfn.STDEV.P('Raw Data'!B$2:'Raw Data'!B$352)) + ($J$2-($K$2/_xlfn.STDEV.P('Raw Data'!B$2:'Raw Data'!B$352))*AVERAGE('Raw Data'!B$2:'Raw Data'!B$352))</f>
        <v>67.116609203553494</v>
      </c>
      <c r="C225" s="52">
        <f ca="1">'Raw Data'!C225*($K$2/_xlfn.STDEV.P('Raw Data'!C$2:'Raw Data'!C$352)) + ($J$2-($K$2/_xlfn.STDEV.P('Raw Data'!C$2:'Raw Data'!C$352))*AVERAGE('Raw Data'!C$2:'Raw Data'!C$352))</f>
        <v>69.18824156180051</v>
      </c>
      <c r="D225" s="52">
        <f ca="1">'Raw Data'!D225*($K$2/_xlfn.STDEV.P('Raw Data'!D$2:'Raw Data'!D$352)) + ($J$2-($K$2/_xlfn.STDEV.P('Raw Data'!D$2:'Raw Data'!D$352))*AVERAGE('Raw Data'!D$2:'Raw Data'!D$352))</f>
        <v>69.64</v>
      </c>
      <c r="E225" s="52" t="str">
        <f ca="1">IFERROR($J$4+('Raw Data'!H225-MIN('Raw Data'!H$2:'Raw Data'!H$352))*($J$3-$J$4)/(MAX('Raw Data'!H$2:'Raw Data'!H$352)-MIN('Raw Data'!H$2:'Raw Data'!H$352)),"")</f>
        <v/>
      </c>
      <c r="F225" s="52" t="str">
        <f ca="1">IFERROR($J$4+('Raw Data'!I225-MIN('Raw Data'!I$2:'Raw Data'!I$352))*($J$3-$J$4)/(MAX('Raw Data'!I$2:'Raw Data'!I$352)-MIN('Raw Data'!I$2:'Raw Data'!I$352)),"")</f>
        <v/>
      </c>
      <c r="G225" s="52">
        <f ca="1">IF(Bracket!$I$1="Composite",AVERAGE(B225:F225),IF(Bracket!$I$1="Kenpom",B225,IF(Bracket!$I$1="PVA",C225,IF(Bracket!$I$1="Sagarin Predictor",D225,IF(Bracket!$I$1="No Preseason",AVERAGE(B225:D225),"")))))</f>
        <v>68.648283588451321</v>
      </c>
      <c r="H225" s="63">
        <f t="shared" ca="1" si="3"/>
        <v>204</v>
      </c>
      <c r="I225" s="52"/>
      <c r="J225" s="52"/>
      <c r="K225" s="52"/>
    </row>
    <row r="226" spans="1:11" x14ac:dyDescent="0.3">
      <c r="A226" s="52" t="str">
        <f>'Raw Data'!A226</f>
        <v>Gardner-Webb</v>
      </c>
      <c r="B226" s="52">
        <f ca="1">'Raw Data'!B226*($K$2/_xlfn.STDEV.P('Raw Data'!B$2:'Raw Data'!B$352)) + ($J$2-($K$2/_xlfn.STDEV.P('Raw Data'!B$2:'Raw Data'!B$352))*AVERAGE('Raw Data'!B$2:'Raw Data'!B$352))</f>
        <v>66.875218368141574</v>
      </c>
      <c r="C226" s="52">
        <f ca="1">'Raw Data'!C226*($K$2/_xlfn.STDEV.P('Raw Data'!C$2:'Raw Data'!C$352)) + ($J$2-($K$2/_xlfn.STDEV.P('Raw Data'!C$2:'Raw Data'!C$352))*AVERAGE('Raw Data'!C$2:'Raw Data'!C$352))</f>
        <v>67.895817639163113</v>
      </c>
      <c r="D226" s="52">
        <f ca="1">'Raw Data'!D226*($K$2/_xlfn.STDEV.P('Raw Data'!D$2:'Raw Data'!D$352)) + ($J$2-($K$2/_xlfn.STDEV.P('Raw Data'!D$2:'Raw Data'!D$352))*AVERAGE('Raw Data'!D$2:'Raw Data'!D$352))</f>
        <v>66.25</v>
      </c>
      <c r="E226" s="52" t="str">
        <f ca="1">IFERROR($J$4+('Raw Data'!H226-MIN('Raw Data'!H$2:'Raw Data'!H$352))*($J$3-$J$4)/(MAX('Raw Data'!H$2:'Raw Data'!H$352)-MIN('Raw Data'!H$2:'Raw Data'!H$352)),"")</f>
        <v/>
      </c>
      <c r="F226" s="52" t="str">
        <f ca="1">IFERROR($J$4+('Raw Data'!I226-MIN('Raw Data'!I$2:'Raw Data'!I$352))*($J$3-$J$4)/(MAX('Raw Data'!I$2:'Raw Data'!I$352)-MIN('Raw Data'!I$2:'Raw Data'!I$352)),"")</f>
        <v/>
      </c>
      <c r="G226" s="52">
        <f ca="1">IF(Bracket!$I$1="Composite",AVERAGE(B226:F226),IF(Bracket!$I$1="Kenpom",B226,IF(Bracket!$I$1="PVA",C226,IF(Bracket!$I$1="Sagarin Predictor",D226,IF(Bracket!$I$1="No Preseason",AVERAGE(B226:D226),"")))))</f>
        <v>67.007012002434905</v>
      </c>
      <c r="H226" s="63">
        <f t="shared" ca="1" si="3"/>
        <v>230</v>
      </c>
      <c r="I226" s="52"/>
      <c r="J226" s="52"/>
      <c r="K226" s="52"/>
    </row>
    <row r="227" spans="1:11" x14ac:dyDescent="0.3">
      <c r="A227" s="52" t="str">
        <f>'Raw Data'!A227</f>
        <v>Canisius</v>
      </c>
      <c r="B227" s="52">
        <f ca="1">'Raw Data'!B227*($K$2/_xlfn.STDEV.P('Raw Data'!B$2:'Raw Data'!B$352)) + ($J$2-($K$2/_xlfn.STDEV.P('Raw Data'!B$2:'Raw Data'!B$352))*AVERAGE('Raw Data'!B$2:'Raw Data'!B$352))</f>
        <v>65.868165976657451</v>
      </c>
      <c r="C227" s="52">
        <f ca="1">'Raw Data'!C227*($K$2/_xlfn.STDEV.P('Raw Data'!C$2:'Raw Data'!C$352)) + ($J$2-($K$2/_xlfn.STDEV.P('Raw Data'!C$2:'Raw Data'!C$352))*AVERAGE('Raw Data'!C$2:'Raw Data'!C$352))</f>
        <v>67.12036328558068</v>
      </c>
      <c r="D227" s="52">
        <f ca="1">'Raw Data'!D227*($K$2/_xlfn.STDEV.P('Raw Data'!D$2:'Raw Data'!D$352)) + ($J$2-($K$2/_xlfn.STDEV.P('Raw Data'!D$2:'Raw Data'!D$352))*AVERAGE('Raw Data'!D$2:'Raw Data'!D$352))</f>
        <v>67.8</v>
      </c>
      <c r="E227" s="52" t="str">
        <f ca="1">IFERROR($J$4+('Raw Data'!H227-MIN('Raw Data'!H$2:'Raw Data'!H$352))*($J$3-$J$4)/(MAX('Raw Data'!H$2:'Raw Data'!H$352)-MIN('Raw Data'!H$2:'Raw Data'!H$352)),"")</f>
        <v/>
      </c>
      <c r="F227" s="52" t="str">
        <f ca="1">IFERROR($J$4+('Raw Data'!I227-MIN('Raw Data'!I$2:'Raw Data'!I$352))*($J$3-$J$4)/(MAX('Raw Data'!I$2:'Raw Data'!I$352)-MIN('Raw Data'!I$2:'Raw Data'!I$352)),"")</f>
        <v/>
      </c>
      <c r="G227" s="52">
        <f ca="1">IF(Bracket!$I$1="Composite",AVERAGE(B227:F227),IF(Bracket!$I$1="Kenpom",B227,IF(Bracket!$I$1="PVA",C227,IF(Bracket!$I$1="Sagarin Predictor",D227,IF(Bracket!$I$1="No Preseason",AVERAGE(B227:D227),"")))))</f>
        <v>66.929509754079376</v>
      </c>
      <c r="H227" s="63">
        <f t="shared" ca="1" si="3"/>
        <v>233</v>
      </c>
      <c r="I227" s="52"/>
      <c r="J227" s="52"/>
      <c r="K227" s="52"/>
    </row>
    <row r="228" spans="1:11" x14ac:dyDescent="0.3">
      <c r="A228" s="52" t="str">
        <f>'Raw Data'!A228</f>
        <v>St John's</v>
      </c>
      <c r="B228" s="52">
        <f ca="1">'Raw Data'!B228*($K$2/_xlfn.STDEV.P('Raw Data'!B$2:'Raw Data'!B$352)) + ($J$2-($K$2/_xlfn.STDEV.P('Raw Data'!B$2:'Raw Data'!B$352))*AVERAGE('Raw Data'!B$2:'Raw Data'!B$352))</f>
        <v>66.060524298626333</v>
      </c>
      <c r="C228" s="52">
        <f ca="1">'Raw Data'!C228*($K$2/_xlfn.STDEV.P('Raw Data'!C$2:'Raw Data'!C$352)) + ($J$2-($K$2/_xlfn.STDEV.P('Raw Data'!C$2:'Raw Data'!C$352))*AVERAGE('Raw Data'!C$2:'Raw Data'!C$352))</f>
        <v>68.283544815954343</v>
      </c>
      <c r="D228" s="52">
        <f ca="1">'Raw Data'!D228*($K$2/_xlfn.STDEV.P('Raw Data'!D$2:'Raw Data'!D$352)) + ($J$2-($K$2/_xlfn.STDEV.P('Raw Data'!D$2:'Raw Data'!D$352))*AVERAGE('Raw Data'!D$2:'Raw Data'!D$352))</f>
        <v>68.64</v>
      </c>
      <c r="E228" s="52" t="str">
        <f ca="1">IFERROR($J$4+('Raw Data'!H228-MIN('Raw Data'!H$2:'Raw Data'!H$352))*($J$3-$J$4)/(MAX('Raw Data'!H$2:'Raw Data'!H$352)-MIN('Raw Data'!H$2:'Raw Data'!H$352)),"")</f>
        <v/>
      </c>
      <c r="F228" s="52" t="str">
        <f ca="1">IFERROR($J$4+('Raw Data'!I228-MIN('Raw Data'!I$2:'Raw Data'!I$352))*($J$3-$J$4)/(MAX('Raw Data'!I$2:'Raw Data'!I$352)-MIN('Raw Data'!I$2:'Raw Data'!I$352)),"")</f>
        <v/>
      </c>
      <c r="G228" s="52">
        <f ca="1">IF(Bracket!$I$1="Composite",AVERAGE(B228:F228),IF(Bracket!$I$1="Kenpom",B228,IF(Bracket!$I$1="PVA",C228,IF(Bracket!$I$1="Sagarin Predictor",D228,IF(Bracket!$I$1="No Preseason",AVERAGE(B228:D228),"")))))</f>
        <v>67.661356371526892</v>
      </c>
      <c r="H228" s="63">
        <f t="shared" ca="1" si="3"/>
        <v>216</v>
      </c>
      <c r="I228" s="52"/>
      <c r="J228" s="52"/>
      <c r="K228" s="52"/>
    </row>
    <row r="229" spans="1:11" x14ac:dyDescent="0.3">
      <c r="A229" s="52" t="str">
        <f>'Raw Data'!A229</f>
        <v>South Florida</v>
      </c>
      <c r="B229" s="52">
        <f ca="1">'Raw Data'!B229*($K$2/_xlfn.STDEV.P('Raw Data'!B$2:'Raw Data'!B$352)) + ($J$2-($K$2/_xlfn.STDEV.P('Raw Data'!B$2:'Raw Data'!B$352))*AVERAGE('Raw Data'!B$2:'Raw Data'!B$352))</f>
        <v>65.875709440264075</v>
      </c>
      <c r="C229" s="52">
        <f ca="1">'Raw Data'!C229*($K$2/_xlfn.STDEV.P('Raw Data'!C$2:'Raw Data'!C$352)) + ($J$2-($K$2/_xlfn.STDEV.P('Raw Data'!C$2:'Raw Data'!C$352))*AVERAGE('Raw Data'!C$2:'Raw Data'!C$352))</f>
        <v>67.249605677844414</v>
      </c>
      <c r="D229" s="52">
        <f ca="1">'Raw Data'!D229*($K$2/_xlfn.STDEV.P('Raw Data'!D$2:'Raw Data'!D$352)) + ($J$2-($K$2/_xlfn.STDEV.P('Raw Data'!D$2:'Raw Data'!D$352))*AVERAGE('Raw Data'!D$2:'Raw Data'!D$352))</f>
        <v>67.41</v>
      </c>
      <c r="E229" s="52" t="str">
        <f ca="1">IFERROR($J$4+('Raw Data'!H229-MIN('Raw Data'!H$2:'Raw Data'!H$352))*($J$3-$J$4)/(MAX('Raw Data'!H$2:'Raw Data'!H$352)-MIN('Raw Data'!H$2:'Raw Data'!H$352)),"")</f>
        <v/>
      </c>
      <c r="F229" s="52" t="str">
        <f ca="1">IFERROR($J$4+('Raw Data'!I229-MIN('Raw Data'!I$2:'Raw Data'!I$352))*($J$3-$J$4)/(MAX('Raw Data'!I$2:'Raw Data'!I$352)-MIN('Raw Data'!I$2:'Raw Data'!I$352)),"")</f>
        <v/>
      </c>
      <c r="G229" s="52">
        <f ca="1">IF(Bracket!$I$1="Composite",AVERAGE(B229:F229),IF(Bracket!$I$1="Kenpom",B229,IF(Bracket!$I$1="PVA",C229,IF(Bracket!$I$1="Sagarin Predictor",D229,IF(Bracket!$I$1="No Preseason",AVERAGE(B229:D229),"")))))</f>
        <v>66.8451050393695</v>
      </c>
      <c r="H229" s="63">
        <f t="shared" ca="1" si="3"/>
        <v>236</v>
      </c>
      <c r="I229" s="52"/>
      <c r="J229" s="52"/>
      <c r="K229" s="52"/>
    </row>
    <row r="230" spans="1:11" x14ac:dyDescent="0.3">
      <c r="A230" s="52" t="str">
        <f>'Raw Data'!A230</f>
        <v>Incarnate Word</v>
      </c>
      <c r="B230" s="52">
        <f ca="1">'Raw Data'!B230*($K$2/_xlfn.STDEV.P('Raw Data'!B$2:'Raw Data'!B$352)) + ($J$2-($K$2/_xlfn.STDEV.P('Raw Data'!B$2:'Raw Data'!B$352))*AVERAGE('Raw Data'!B$2:'Raw Data'!B$352))</f>
        <v>66.332088988464747</v>
      </c>
      <c r="C230" s="52">
        <f ca="1">'Raw Data'!C230*($K$2/_xlfn.STDEV.P('Raw Data'!C$2:'Raw Data'!C$352)) + ($J$2-($K$2/_xlfn.STDEV.P('Raw Data'!C$2:'Raw Data'!C$352))*AVERAGE('Raw Data'!C$2:'Raw Data'!C$352))</f>
        <v>66.086424147470765</v>
      </c>
      <c r="D230" s="52">
        <f ca="1">'Raw Data'!D230*($K$2/_xlfn.STDEV.P('Raw Data'!D$2:'Raw Data'!D$352)) + ($J$2-($K$2/_xlfn.STDEV.P('Raw Data'!D$2:'Raw Data'!D$352))*AVERAGE('Raw Data'!D$2:'Raw Data'!D$352))</f>
        <v>65.19</v>
      </c>
      <c r="E230" s="52" t="str">
        <f ca="1">IFERROR($J$4+('Raw Data'!H230-MIN('Raw Data'!H$2:'Raw Data'!H$352))*($J$3-$J$4)/(MAX('Raw Data'!H$2:'Raw Data'!H$352)-MIN('Raw Data'!H$2:'Raw Data'!H$352)),"")</f>
        <v/>
      </c>
      <c r="F230" s="52" t="str">
        <f ca="1">IFERROR($J$4+('Raw Data'!I230-MIN('Raw Data'!I$2:'Raw Data'!I$352))*($J$3-$J$4)/(MAX('Raw Data'!I$2:'Raw Data'!I$352)-MIN('Raw Data'!I$2:'Raw Data'!I$352)),"")</f>
        <v/>
      </c>
      <c r="G230" s="52">
        <f ca="1">IF(Bracket!$I$1="Composite",AVERAGE(B230:F230),IF(Bracket!$I$1="Kenpom",B230,IF(Bracket!$I$1="PVA",C230,IF(Bracket!$I$1="Sagarin Predictor",D230,IF(Bracket!$I$1="No Preseason",AVERAGE(B230:D230),"")))))</f>
        <v>65.869504378645175</v>
      </c>
      <c r="H230" s="63">
        <f t="shared" ca="1" si="3"/>
        <v>247</v>
      </c>
      <c r="I230" s="52"/>
      <c r="J230" s="52"/>
      <c r="K230" s="52"/>
    </row>
    <row r="231" spans="1:11" x14ac:dyDescent="0.3">
      <c r="A231" s="52" t="str">
        <f>'Raw Data'!A231</f>
        <v>Loyola Marymount</v>
      </c>
      <c r="B231" s="52">
        <f ca="1">'Raw Data'!B231*($K$2/_xlfn.STDEV.P('Raw Data'!B$2:'Raw Data'!B$352)) + ($J$2-($K$2/_xlfn.STDEV.P('Raw Data'!B$2:'Raw Data'!B$352))*AVERAGE('Raw Data'!B$2:'Raw Data'!B$352))</f>
        <v>66.614968873713096</v>
      </c>
      <c r="C231" s="52">
        <f ca="1">'Raw Data'!C231*($K$2/_xlfn.STDEV.P('Raw Data'!C$2:'Raw Data'!C$352)) + ($J$2-($K$2/_xlfn.STDEV.P('Raw Data'!C$2:'Raw Data'!C$352))*AVERAGE('Raw Data'!C$2:'Raw Data'!C$352))</f>
        <v>68.154302423690595</v>
      </c>
      <c r="D231" s="52">
        <f ca="1">'Raw Data'!D231*($K$2/_xlfn.STDEV.P('Raw Data'!D$2:'Raw Data'!D$352)) + ($J$2-($K$2/_xlfn.STDEV.P('Raw Data'!D$2:'Raw Data'!D$352))*AVERAGE('Raw Data'!D$2:'Raw Data'!D$352))</f>
        <v>68.58</v>
      </c>
      <c r="E231" s="52" t="str">
        <f ca="1">IFERROR($J$4+('Raw Data'!H231-MIN('Raw Data'!H$2:'Raw Data'!H$352))*($J$3-$J$4)/(MAX('Raw Data'!H$2:'Raw Data'!H$352)-MIN('Raw Data'!H$2:'Raw Data'!H$352)),"")</f>
        <v/>
      </c>
      <c r="F231" s="52" t="str">
        <f ca="1">IFERROR($J$4+('Raw Data'!I231-MIN('Raw Data'!I$2:'Raw Data'!I$352))*($J$3-$J$4)/(MAX('Raw Data'!I$2:'Raw Data'!I$352)-MIN('Raw Data'!I$2:'Raw Data'!I$352)),"")</f>
        <v/>
      </c>
      <c r="G231" s="52">
        <f ca="1">IF(Bracket!$I$1="Composite",AVERAGE(B231:F231),IF(Bracket!$I$1="Kenpom",B231,IF(Bracket!$I$1="PVA",C231,IF(Bracket!$I$1="Sagarin Predictor",D231,IF(Bracket!$I$1="No Preseason",AVERAGE(B231:D231),"")))))</f>
        <v>67.783090432467887</v>
      </c>
      <c r="H231" s="63">
        <f t="shared" ca="1" si="3"/>
        <v>214</v>
      </c>
      <c r="I231" s="52"/>
      <c r="J231" s="52"/>
      <c r="K231" s="52"/>
    </row>
    <row r="232" spans="1:11" x14ac:dyDescent="0.3">
      <c r="A232" s="52" t="str">
        <f>'Raw Data'!A232</f>
        <v>UTEP</v>
      </c>
      <c r="B232" s="52">
        <f ca="1">'Raw Data'!B232*($K$2/_xlfn.STDEV.P('Raw Data'!B$2:'Raw Data'!B$352)) + ($J$2-($K$2/_xlfn.STDEV.P('Raw Data'!B$2:'Raw Data'!B$352))*AVERAGE('Raw Data'!B$2:'Raw Data'!B$352))</f>
        <v>67.278793671095883</v>
      </c>
      <c r="C232" s="52">
        <f ca="1">'Raw Data'!C232*($K$2/_xlfn.STDEV.P('Raw Data'!C$2:'Raw Data'!C$352)) + ($J$2-($K$2/_xlfn.STDEV.P('Raw Data'!C$2:'Raw Data'!C$352))*AVERAGE('Raw Data'!C$2:'Raw Data'!C$352))</f>
        <v>68.542029600481811</v>
      </c>
      <c r="D232" s="52">
        <f ca="1">'Raw Data'!D232*($K$2/_xlfn.STDEV.P('Raw Data'!D$2:'Raw Data'!D$352)) + ($J$2-($K$2/_xlfn.STDEV.P('Raw Data'!D$2:'Raw Data'!D$352))*AVERAGE('Raw Data'!D$2:'Raw Data'!D$352))</f>
        <v>68.56</v>
      </c>
      <c r="E232" s="52" t="str">
        <f ca="1">IFERROR($J$4+('Raw Data'!H232-MIN('Raw Data'!H$2:'Raw Data'!H$352))*($J$3-$J$4)/(MAX('Raw Data'!H$2:'Raw Data'!H$352)-MIN('Raw Data'!H$2:'Raw Data'!H$352)),"")</f>
        <v/>
      </c>
      <c r="F232" s="52" t="str">
        <f ca="1">IFERROR($J$4+('Raw Data'!I232-MIN('Raw Data'!I$2:'Raw Data'!I$352))*($J$3-$J$4)/(MAX('Raw Data'!I$2:'Raw Data'!I$352)-MIN('Raw Data'!I$2:'Raw Data'!I$352)),"")</f>
        <v/>
      </c>
      <c r="G232" s="52">
        <f ca="1">IF(Bracket!$I$1="Composite",AVERAGE(B232:F232),IF(Bracket!$I$1="Kenpom",B232,IF(Bracket!$I$1="PVA",C232,IF(Bracket!$I$1="Sagarin Predictor",D232,IF(Bracket!$I$1="No Preseason",AVERAGE(B232:D232),"")))))</f>
        <v>68.126941090525904</v>
      </c>
      <c r="H232" s="63">
        <f t="shared" ca="1" si="3"/>
        <v>210</v>
      </c>
      <c r="I232" s="52"/>
      <c r="J232" s="52"/>
      <c r="K232" s="52"/>
    </row>
    <row r="233" spans="1:11" x14ac:dyDescent="0.3">
      <c r="A233" s="52" t="str">
        <f>'Raw Data'!A233</f>
        <v>CS Northridge</v>
      </c>
      <c r="B233" s="52">
        <f ca="1">'Raw Data'!B233*($K$2/_xlfn.STDEV.P('Raw Data'!B$2:'Raw Data'!B$352)) + ($J$2-($K$2/_xlfn.STDEV.P('Raw Data'!B$2:'Raw Data'!B$352))*AVERAGE('Raw Data'!B$2:'Raw Data'!B$352))</f>
        <v>66.05298083501971</v>
      </c>
      <c r="C233" s="52">
        <f ca="1">'Raw Data'!C233*($K$2/_xlfn.STDEV.P('Raw Data'!C$2:'Raw Data'!C$352)) + ($J$2-($K$2/_xlfn.STDEV.P('Raw Data'!C$2:'Raw Data'!C$352))*AVERAGE('Raw Data'!C$2:'Raw Data'!C$352))</f>
        <v>65.698696970679549</v>
      </c>
      <c r="D233" s="52">
        <f ca="1">'Raw Data'!D233*($K$2/_xlfn.STDEV.P('Raw Data'!D$2:'Raw Data'!D$352)) + ($J$2-($K$2/_xlfn.STDEV.P('Raw Data'!D$2:'Raw Data'!D$352))*AVERAGE('Raw Data'!D$2:'Raw Data'!D$352))</f>
        <v>66.400000000000006</v>
      </c>
      <c r="E233" s="52" t="str">
        <f ca="1">IFERROR($J$4+('Raw Data'!H233-MIN('Raw Data'!H$2:'Raw Data'!H$352))*($J$3-$J$4)/(MAX('Raw Data'!H$2:'Raw Data'!H$352)-MIN('Raw Data'!H$2:'Raw Data'!H$352)),"")</f>
        <v/>
      </c>
      <c r="F233" s="52" t="str">
        <f ca="1">IFERROR($J$4+('Raw Data'!I233-MIN('Raw Data'!I$2:'Raw Data'!I$352))*($J$3-$J$4)/(MAX('Raw Data'!I$2:'Raw Data'!I$352)-MIN('Raw Data'!I$2:'Raw Data'!I$352)),"")</f>
        <v/>
      </c>
      <c r="G233" s="52">
        <f ca="1">IF(Bracket!$I$1="Composite",AVERAGE(B233:F233),IF(Bracket!$I$1="Kenpom",B233,IF(Bracket!$I$1="PVA",C233,IF(Bracket!$I$1="Sagarin Predictor",D233,IF(Bracket!$I$1="No Preseason",AVERAGE(B233:D233),"")))))</f>
        <v>66.050559268566431</v>
      </c>
      <c r="H233" s="63">
        <f t="shared" ca="1" si="3"/>
        <v>244</v>
      </c>
      <c r="I233" s="52"/>
      <c r="J233" s="52"/>
      <c r="K233" s="52"/>
    </row>
    <row r="234" spans="1:11" x14ac:dyDescent="0.3">
      <c r="A234" s="52" t="str">
        <f>'Raw Data'!A234</f>
        <v>Texas State</v>
      </c>
      <c r="B234" s="52">
        <f ca="1">'Raw Data'!B234*($K$2/_xlfn.STDEV.P('Raw Data'!B$2:'Raw Data'!B$352)) + ($J$2-($K$2/_xlfn.STDEV.P('Raw Data'!B$2:'Raw Data'!B$352))*AVERAGE('Raw Data'!B$2:'Raw Data'!B$352))</f>
        <v>68.82143197865021</v>
      </c>
      <c r="C234" s="52">
        <f ca="1">'Raw Data'!C234*($K$2/_xlfn.STDEV.P('Raw Data'!C$2:'Raw Data'!C$352)) + ($J$2-($K$2/_xlfn.STDEV.P('Raw Data'!C$2:'Raw Data'!C$352))*AVERAGE('Raw Data'!C$2:'Raw Data'!C$352))</f>
        <v>68.542029600481811</v>
      </c>
      <c r="D234" s="52">
        <f ca="1">'Raw Data'!D234*($K$2/_xlfn.STDEV.P('Raw Data'!D$2:'Raw Data'!D$352)) + ($J$2-($K$2/_xlfn.STDEV.P('Raw Data'!D$2:'Raw Data'!D$352))*AVERAGE('Raw Data'!D$2:'Raw Data'!D$352))</f>
        <v>67.88</v>
      </c>
      <c r="E234" s="52" t="str">
        <f ca="1">IFERROR($J$4+('Raw Data'!H234-MIN('Raw Data'!H$2:'Raw Data'!H$352))*($J$3-$J$4)/(MAX('Raw Data'!H$2:'Raw Data'!H$352)-MIN('Raw Data'!H$2:'Raw Data'!H$352)),"")</f>
        <v/>
      </c>
      <c r="F234" s="52" t="str">
        <f ca="1">IFERROR($J$4+('Raw Data'!I234-MIN('Raw Data'!I$2:'Raw Data'!I$352))*($J$3-$J$4)/(MAX('Raw Data'!I$2:'Raw Data'!I$352)-MIN('Raw Data'!I$2:'Raw Data'!I$352)),"")</f>
        <v/>
      </c>
      <c r="G234" s="52">
        <f ca="1">IF(Bracket!$I$1="Composite",AVERAGE(B234:F234),IF(Bracket!$I$1="Kenpom",B234,IF(Bracket!$I$1="PVA",C234,IF(Bracket!$I$1="Sagarin Predictor",D234,IF(Bracket!$I$1="No Preseason",AVERAGE(B234:D234),"")))))</f>
        <v>68.41448719304401</v>
      </c>
      <c r="H234" s="63">
        <f t="shared" ca="1" si="3"/>
        <v>208</v>
      </c>
      <c r="I234" s="52"/>
      <c r="J234" s="52"/>
      <c r="K234" s="52"/>
    </row>
    <row r="235" spans="1:11" x14ac:dyDescent="0.3">
      <c r="A235" s="52" t="str">
        <f>'Raw Data'!A235</f>
        <v>New Hampshire</v>
      </c>
      <c r="B235" s="52">
        <f ca="1">'Raw Data'!B235*($K$2/_xlfn.STDEV.P('Raw Data'!B$2:'Raw Data'!B$352)) + ($J$2-($K$2/_xlfn.STDEV.P('Raw Data'!B$2:'Raw Data'!B$352))*AVERAGE('Raw Data'!B$2:'Raw Data'!B$352))</f>
        <v>68.010509640938281</v>
      </c>
      <c r="C235" s="52">
        <f ca="1">'Raw Data'!C235*($K$2/_xlfn.STDEV.P('Raw Data'!C$2:'Raw Data'!C$352)) + ($J$2-($K$2/_xlfn.STDEV.P('Raw Data'!C$2:'Raw Data'!C$352))*AVERAGE('Raw Data'!C$2:'Raw Data'!C$352))</f>
        <v>66.991120893316946</v>
      </c>
      <c r="D235" s="52">
        <f ca="1">'Raw Data'!D235*($K$2/_xlfn.STDEV.P('Raw Data'!D$2:'Raw Data'!D$352)) + ($J$2-($K$2/_xlfn.STDEV.P('Raw Data'!D$2:'Raw Data'!D$352))*AVERAGE('Raw Data'!D$2:'Raw Data'!D$352))</f>
        <v>66.28</v>
      </c>
      <c r="E235" s="52" t="str">
        <f ca="1">IFERROR($J$4+('Raw Data'!H235-MIN('Raw Data'!H$2:'Raw Data'!H$352))*($J$3-$J$4)/(MAX('Raw Data'!H$2:'Raw Data'!H$352)-MIN('Raw Data'!H$2:'Raw Data'!H$352)),"")</f>
        <v/>
      </c>
      <c r="F235" s="52" t="str">
        <f ca="1">IFERROR($J$4+('Raw Data'!I235-MIN('Raw Data'!I$2:'Raw Data'!I$352))*($J$3-$J$4)/(MAX('Raw Data'!I$2:'Raw Data'!I$352)-MIN('Raw Data'!I$2:'Raw Data'!I$352)),"")</f>
        <v/>
      </c>
      <c r="G235" s="52">
        <f ca="1">IF(Bracket!$I$1="Composite",AVERAGE(B235:F235),IF(Bracket!$I$1="Kenpom",B235,IF(Bracket!$I$1="PVA",C235,IF(Bracket!$I$1="Sagarin Predictor",D235,IF(Bracket!$I$1="No Preseason",AVERAGE(B235:D235),"")))))</f>
        <v>67.093876844751748</v>
      </c>
      <c r="H235" s="63">
        <f t="shared" ca="1" si="3"/>
        <v>229</v>
      </c>
      <c r="I235" s="52"/>
      <c r="J235" s="52"/>
      <c r="K235" s="52"/>
    </row>
    <row r="236" spans="1:11" x14ac:dyDescent="0.3">
      <c r="A236" s="52" t="str">
        <f>'Raw Data'!A236</f>
        <v>Western Illinois</v>
      </c>
      <c r="B236" s="52">
        <f ca="1">'Raw Data'!B236*($K$2/_xlfn.STDEV.P('Raw Data'!B$2:'Raw Data'!B$352)) + ($J$2-($K$2/_xlfn.STDEV.P('Raw Data'!B$2:'Raw Data'!B$352))*AVERAGE('Raw Data'!B$2:'Raw Data'!B$352))</f>
        <v>65.800274804197855</v>
      </c>
      <c r="C236" s="52">
        <f ca="1">'Raw Data'!C236*($K$2/_xlfn.STDEV.P('Raw Data'!C$2:'Raw Data'!C$352)) + ($J$2-($K$2/_xlfn.STDEV.P('Raw Data'!C$2:'Raw Data'!C$352))*AVERAGE('Raw Data'!C$2:'Raw Data'!C$352))</f>
        <v>67.12036328558068</v>
      </c>
      <c r="D236" s="52">
        <f ca="1">'Raw Data'!D236*($K$2/_xlfn.STDEV.P('Raw Data'!D$2:'Raw Data'!D$352)) + ($J$2-($K$2/_xlfn.STDEV.P('Raw Data'!D$2:'Raw Data'!D$352))*AVERAGE('Raw Data'!D$2:'Raw Data'!D$352))</f>
        <v>66.66</v>
      </c>
      <c r="E236" s="52" t="str">
        <f ca="1">IFERROR($J$4+('Raw Data'!H236-MIN('Raw Data'!H$2:'Raw Data'!H$352))*($J$3-$J$4)/(MAX('Raw Data'!H$2:'Raw Data'!H$352)-MIN('Raw Data'!H$2:'Raw Data'!H$352)),"")</f>
        <v/>
      </c>
      <c r="F236" s="52" t="str">
        <f ca="1">IFERROR($J$4+('Raw Data'!I236-MIN('Raw Data'!I$2:'Raw Data'!I$352))*($J$3-$J$4)/(MAX('Raw Data'!I$2:'Raw Data'!I$352)-MIN('Raw Data'!I$2:'Raw Data'!I$352)),"")</f>
        <v/>
      </c>
      <c r="G236" s="52">
        <f ca="1">IF(Bracket!$I$1="Composite",AVERAGE(B236:F236),IF(Bracket!$I$1="Kenpom",B236,IF(Bracket!$I$1="PVA",C236,IF(Bracket!$I$1="Sagarin Predictor",D236,IF(Bracket!$I$1="No Preseason",AVERAGE(B236:D236),"")))))</f>
        <v>66.526879363259511</v>
      </c>
      <c r="H236" s="63">
        <f t="shared" ca="1" si="3"/>
        <v>240</v>
      </c>
      <c r="I236" s="52"/>
      <c r="J236" s="52"/>
      <c r="K236" s="52"/>
    </row>
    <row r="237" spans="1:11" x14ac:dyDescent="0.3">
      <c r="A237" s="52" t="str">
        <f>'Raw Data'!A237</f>
        <v>Jackson State</v>
      </c>
      <c r="B237" s="52">
        <f ca="1">'Raw Data'!B237*($K$2/_xlfn.STDEV.P('Raw Data'!B$2:'Raw Data'!B$352)) + ($J$2-($K$2/_xlfn.STDEV.P('Raw Data'!B$2:'Raw Data'!B$352))*AVERAGE('Raw Data'!B$2:'Raw Data'!B$352))</f>
        <v>66.41506708813759</v>
      </c>
      <c r="C237" s="52">
        <f ca="1">'Raw Data'!C237*($K$2/_xlfn.STDEV.P('Raw Data'!C$2:'Raw Data'!C$352)) + ($J$2-($K$2/_xlfn.STDEV.P('Raw Data'!C$2:'Raw Data'!C$352))*AVERAGE('Raw Data'!C$2:'Raw Data'!C$352))</f>
        <v>66.215666539734499</v>
      </c>
      <c r="D237" s="52">
        <f ca="1">'Raw Data'!D237*($K$2/_xlfn.STDEV.P('Raw Data'!D$2:'Raw Data'!D$352)) + ($J$2-($K$2/_xlfn.STDEV.P('Raw Data'!D$2:'Raw Data'!D$352))*AVERAGE('Raw Data'!D$2:'Raw Data'!D$352))</f>
        <v>65.45</v>
      </c>
      <c r="E237" s="52" t="str">
        <f ca="1">IFERROR($J$4+('Raw Data'!H237-MIN('Raw Data'!H$2:'Raw Data'!H$352))*($J$3-$J$4)/(MAX('Raw Data'!H$2:'Raw Data'!H$352)-MIN('Raw Data'!H$2:'Raw Data'!H$352)),"")</f>
        <v/>
      </c>
      <c r="F237" s="52" t="str">
        <f ca="1">IFERROR($J$4+('Raw Data'!I237-MIN('Raw Data'!I$2:'Raw Data'!I$352))*($J$3-$J$4)/(MAX('Raw Data'!I$2:'Raw Data'!I$352)-MIN('Raw Data'!I$2:'Raw Data'!I$352)),"")</f>
        <v/>
      </c>
      <c r="G237" s="52">
        <f ca="1">IF(Bracket!$I$1="Composite",AVERAGE(B237:F237),IF(Bracket!$I$1="Kenpom",B237,IF(Bracket!$I$1="PVA",C237,IF(Bracket!$I$1="Sagarin Predictor",D237,IF(Bracket!$I$1="No Preseason",AVERAGE(B237:D237),"")))))</f>
        <v>66.026911209290688</v>
      </c>
      <c r="H237" s="63">
        <f t="shared" ca="1" si="3"/>
        <v>245</v>
      </c>
      <c r="I237" s="52"/>
      <c r="J237" s="52"/>
      <c r="K237" s="52"/>
    </row>
    <row r="238" spans="1:11" x14ac:dyDescent="0.3">
      <c r="A238" s="52" t="str">
        <f>'Raw Data'!A238</f>
        <v>Southern</v>
      </c>
      <c r="B238" s="52">
        <f ca="1">'Raw Data'!B238*($K$2/_xlfn.STDEV.P('Raw Data'!B$2:'Raw Data'!B$352)) + ($J$2-($K$2/_xlfn.STDEV.P('Raw Data'!B$2:'Raw Data'!B$352))*AVERAGE('Raw Data'!B$2:'Raw Data'!B$352))</f>
        <v>66.407523624530967</v>
      </c>
      <c r="C238" s="52">
        <f ca="1">'Raw Data'!C238*($K$2/_xlfn.STDEV.P('Raw Data'!C$2:'Raw Data'!C$352)) + ($J$2-($K$2/_xlfn.STDEV.P('Raw Data'!C$2:'Raw Data'!C$352))*AVERAGE('Raw Data'!C$2:'Raw Data'!C$352))</f>
        <v>67.766575246899379</v>
      </c>
      <c r="D238" s="52">
        <f ca="1">'Raw Data'!D238*($K$2/_xlfn.STDEV.P('Raw Data'!D$2:'Raw Data'!D$352)) + ($J$2-($K$2/_xlfn.STDEV.P('Raw Data'!D$2:'Raw Data'!D$352))*AVERAGE('Raw Data'!D$2:'Raw Data'!D$352))</f>
        <v>66.33</v>
      </c>
      <c r="E238" s="52" t="str">
        <f ca="1">IFERROR($J$4+('Raw Data'!H238-MIN('Raw Data'!H$2:'Raw Data'!H$352))*($J$3-$J$4)/(MAX('Raw Data'!H$2:'Raw Data'!H$352)-MIN('Raw Data'!H$2:'Raw Data'!H$352)),"")</f>
        <v/>
      </c>
      <c r="F238" s="52" t="str">
        <f ca="1">IFERROR($J$4+('Raw Data'!I238-MIN('Raw Data'!I$2:'Raw Data'!I$352))*($J$3-$J$4)/(MAX('Raw Data'!I$2:'Raw Data'!I$352)-MIN('Raw Data'!I$2:'Raw Data'!I$352)),"")</f>
        <v/>
      </c>
      <c r="G238" s="52">
        <f ca="1">IF(Bracket!$I$1="Composite",AVERAGE(B238:F238),IF(Bracket!$I$1="Kenpom",B238,IF(Bracket!$I$1="PVA",C238,IF(Bracket!$I$1="Sagarin Predictor",D238,IF(Bracket!$I$1="No Preseason",AVERAGE(B238:D238),"")))))</f>
        <v>66.834699623810124</v>
      </c>
      <c r="H238" s="63">
        <f t="shared" ca="1" si="3"/>
        <v>237</v>
      </c>
      <c r="I238" s="52"/>
      <c r="J238" s="52"/>
      <c r="K238" s="52"/>
    </row>
    <row r="239" spans="1:11" x14ac:dyDescent="0.3">
      <c r="A239" s="52" t="str">
        <f>'Raw Data'!A239</f>
        <v>Pacific</v>
      </c>
      <c r="B239" s="52">
        <f ca="1">'Raw Data'!B239*($K$2/_xlfn.STDEV.P('Raw Data'!B$2:'Raw Data'!B$352)) + ($J$2-($K$2/_xlfn.STDEV.P('Raw Data'!B$2:'Raw Data'!B$352))*AVERAGE('Raw Data'!B$2:'Raw Data'!B$352))</f>
        <v>66.068067762232957</v>
      </c>
      <c r="C239" s="52">
        <f ca="1">'Raw Data'!C239*($K$2/_xlfn.STDEV.P('Raw Data'!C$2:'Raw Data'!C$352)) + ($J$2-($K$2/_xlfn.STDEV.P('Raw Data'!C$2:'Raw Data'!C$352))*AVERAGE('Raw Data'!C$2:'Raw Data'!C$352))</f>
        <v>67.249605677844414</v>
      </c>
      <c r="D239" s="52">
        <f ca="1">'Raw Data'!D239*($K$2/_xlfn.STDEV.P('Raw Data'!D$2:'Raw Data'!D$352)) + ($J$2-($K$2/_xlfn.STDEV.P('Raw Data'!D$2:'Raw Data'!D$352))*AVERAGE('Raw Data'!D$2:'Raw Data'!D$352))</f>
        <v>68.72</v>
      </c>
      <c r="E239" s="52" t="str">
        <f ca="1">IFERROR($J$4+('Raw Data'!H239-MIN('Raw Data'!H$2:'Raw Data'!H$352))*($J$3-$J$4)/(MAX('Raw Data'!H$2:'Raw Data'!H$352)-MIN('Raw Data'!H$2:'Raw Data'!H$352)),"")</f>
        <v/>
      </c>
      <c r="F239" s="52" t="str">
        <f ca="1">IFERROR($J$4+('Raw Data'!I239-MIN('Raw Data'!I$2:'Raw Data'!I$352))*($J$3-$J$4)/(MAX('Raw Data'!I$2:'Raw Data'!I$352)-MIN('Raw Data'!I$2:'Raw Data'!I$352)),"")</f>
        <v/>
      </c>
      <c r="G239" s="52">
        <f ca="1">IF(Bracket!$I$1="Composite",AVERAGE(B239:F239),IF(Bracket!$I$1="Kenpom",B239,IF(Bracket!$I$1="PVA",C239,IF(Bracket!$I$1="Sagarin Predictor",D239,IF(Bracket!$I$1="No Preseason",AVERAGE(B239:D239),"")))))</f>
        <v>67.345891146692466</v>
      </c>
      <c r="H239" s="63">
        <f t="shared" ca="1" si="3"/>
        <v>224</v>
      </c>
      <c r="I239" s="52"/>
      <c r="J239" s="52"/>
      <c r="K239" s="52"/>
    </row>
    <row r="240" spans="1:11" x14ac:dyDescent="0.3">
      <c r="A240" s="52" t="str">
        <f>'Raw Data'!A240</f>
        <v>Missouri State</v>
      </c>
      <c r="B240" s="52">
        <f ca="1">'Raw Data'!B240*($K$2/_xlfn.STDEV.P('Raw Data'!B$2:'Raw Data'!B$352)) + ($J$2-($K$2/_xlfn.STDEV.P('Raw Data'!B$2:'Raw Data'!B$352))*AVERAGE('Raw Data'!B$2:'Raw Data'!B$352))</f>
        <v>65.856850781247516</v>
      </c>
      <c r="C240" s="52">
        <f ca="1">'Raw Data'!C240*($K$2/_xlfn.STDEV.P('Raw Data'!C$2:'Raw Data'!C$352)) + ($J$2-($K$2/_xlfn.STDEV.P('Raw Data'!C$2:'Raw Data'!C$352))*AVERAGE('Raw Data'!C$2:'Raw Data'!C$352))</f>
        <v>67.12036328558068</v>
      </c>
      <c r="D240" s="52">
        <f ca="1">'Raw Data'!D240*($K$2/_xlfn.STDEV.P('Raw Data'!D$2:'Raw Data'!D$352)) + ($J$2-($K$2/_xlfn.STDEV.P('Raw Data'!D$2:'Raw Data'!D$352))*AVERAGE('Raw Data'!D$2:'Raw Data'!D$352))</f>
        <v>68.010000000000005</v>
      </c>
      <c r="E240" s="52" t="str">
        <f ca="1">IFERROR($J$4+('Raw Data'!H240-MIN('Raw Data'!H$2:'Raw Data'!H$352))*($J$3-$J$4)/(MAX('Raw Data'!H$2:'Raw Data'!H$352)-MIN('Raw Data'!H$2:'Raw Data'!H$352)),"")</f>
        <v/>
      </c>
      <c r="F240" s="52" t="str">
        <f ca="1">IFERROR($J$4+('Raw Data'!I240-MIN('Raw Data'!I$2:'Raw Data'!I$352))*($J$3-$J$4)/(MAX('Raw Data'!I$2:'Raw Data'!I$352)-MIN('Raw Data'!I$2:'Raw Data'!I$352)),"")</f>
        <v/>
      </c>
      <c r="G240" s="52">
        <f ca="1">IF(Bracket!$I$1="Composite",AVERAGE(B240:F240),IF(Bracket!$I$1="Kenpom",B240,IF(Bracket!$I$1="PVA",C240,IF(Bracket!$I$1="Sagarin Predictor",D240,IF(Bracket!$I$1="No Preseason",AVERAGE(B240:D240),"")))))</f>
        <v>66.995738022276058</v>
      </c>
      <c r="H240" s="63">
        <f t="shared" ca="1" si="3"/>
        <v>232</v>
      </c>
      <c r="I240" s="52"/>
      <c r="J240" s="52"/>
      <c r="K240" s="52"/>
    </row>
    <row r="241" spans="1:11" x14ac:dyDescent="0.3">
      <c r="A241" s="52" t="str">
        <f>'Raw Data'!A241</f>
        <v>Northern Kentucky</v>
      </c>
      <c r="B241" s="52">
        <f ca="1">'Raw Data'!B241*($K$2/_xlfn.STDEV.P('Raw Data'!B$2:'Raw Data'!B$352)) + ($J$2-($K$2/_xlfn.STDEV.P('Raw Data'!B$2:'Raw Data'!B$352))*AVERAGE('Raw Data'!B$2:'Raw Data'!B$352))</f>
        <v>64.996895930092535</v>
      </c>
      <c r="C241" s="52">
        <f ca="1">'Raw Data'!C241*($K$2/_xlfn.STDEV.P('Raw Data'!C$2:'Raw Data'!C$352)) + ($J$2-($K$2/_xlfn.STDEV.P('Raw Data'!C$2:'Raw Data'!C$352))*AVERAGE('Raw Data'!C$2:'Raw Data'!C$352))</f>
        <v>65.310969793888319</v>
      </c>
      <c r="D241" s="52">
        <f ca="1">'Raw Data'!D241*($K$2/_xlfn.STDEV.P('Raw Data'!D$2:'Raw Data'!D$352)) + ($J$2-($K$2/_xlfn.STDEV.P('Raw Data'!D$2:'Raw Data'!D$352))*AVERAGE('Raw Data'!D$2:'Raw Data'!D$352))</f>
        <v>65.84</v>
      </c>
      <c r="E241" s="52" t="str">
        <f ca="1">IFERROR($J$4+('Raw Data'!H241-MIN('Raw Data'!H$2:'Raw Data'!H$352))*($J$3-$J$4)/(MAX('Raw Data'!H$2:'Raw Data'!H$352)-MIN('Raw Data'!H$2:'Raw Data'!H$352)),"")</f>
        <v/>
      </c>
      <c r="F241" s="52" t="str">
        <f ca="1">IFERROR($J$4+('Raw Data'!I241-MIN('Raw Data'!I$2:'Raw Data'!I$352))*($J$3-$J$4)/(MAX('Raw Data'!I$2:'Raw Data'!I$352)-MIN('Raw Data'!I$2:'Raw Data'!I$352)),"")</f>
        <v/>
      </c>
      <c r="G241" s="52">
        <f ca="1">IF(Bracket!$I$1="Composite",AVERAGE(B241:F241),IF(Bracket!$I$1="Kenpom",B241,IF(Bracket!$I$1="PVA",C241,IF(Bracket!$I$1="Sagarin Predictor",D241,IF(Bracket!$I$1="No Preseason",AVERAGE(B241:D241),"")))))</f>
        <v>65.382621907993624</v>
      </c>
      <c r="H241" s="63">
        <f t="shared" ca="1" si="3"/>
        <v>254</v>
      </c>
      <c r="I241" s="52"/>
      <c r="J241" s="52"/>
      <c r="K241" s="52"/>
    </row>
    <row r="242" spans="1:11" x14ac:dyDescent="0.3">
      <c r="A242" s="52" t="str">
        <f>'Raw Data'!A242</f>
        <v>Hampton</v>
      </c>
      <c r="B242" s="52">
        <f ca="1">'Raw Data'!B242*($K$2/_xlfn.STDEV.P('Raw Data'!B$2:'Raw Data'!B$352)) + ($J$2-($K$2/_xlfn.STDEV.P('Raw Data'!B$2:'Raw Data'!B$352))*AVERAGE('Raw Data'!B$2:'Raw Data'!B$352))</f>
        <v>66.531990774040253</v>
      </c>
      <c r="C242" s="52">
        <f ca="1">'Raw Data'!C242*($K$2/_xlfn.STDEV.P('Raw Data'!C$2:'Raw Data'!C$352)) + ($J$2-($K$2/_xlfn.STDEV.P('Raw Data'!C$2:'Raw Data'!C$352))*AVERAGE('Raw Data'!C$2:'Raw Data'!C$352))</f>
        <v>66.344908931998248</v>
      </c>
      <c r="D242" s="52">
        <f ca="1">'Raw Data'!D242*($K$2/_xlfn.STDEV.P('Raw Data'!D$2:'Raw Data'!D$352)) + ($J$2-($K$2/_xlfn.STDEV.P('Raw Data'!D$2:'Raw Data'!D$352))*AVERAGE('Raw Data'!D$2:'Raw Data'!D$352))</f>
        <v>65.349999999999994</v>
      </c>
      <c r="E242" s="52" t="str">
        <f ca="1">IFERROR($J$4+('Raw Data'!H242-MIN('Raw Data'!H$2:'Raw Data'!H$352))*($J$3-$J$4)/(MAX('Raw Data'!H$2:'Raw Data'!H$352)-MIN('Raw Data'!H$2:'Raw Data'!H$352)),"")</f>
        <v/>
      </c>
      <c r="F242" s="52" t="str">
        <f ca="1">IFERROR($J$4+('Raw Data'!I242-MIN('Raw Data'!I$2:'Raw Data'!I$352))*($J$3-$J$4)/(MAX('Raw Data'!I$2:'Raw Data'!I$352)-MIN('Raw Data'!I$2:'Raw Data'!I$352)),"")</f>
        <v/>
      </c>
      <c r="G242" s="52">
        <f ca="1">IF(Bracket!$I$1="Composite",AVERAGE(B242:F242),IF(Bracket!$I$1="Kenpom",B242,IF(Bracket!$I$1="PVA",C242,IF(Bracket!$I$1="Sagarin Predictor",D242,IF(Bracket!$I$1="No Preseason",AVERAGE(B242:D242),"")))))</f>
        <v>66.07563323534616</v>
      </c>
      <c r="H242" s="63">
        <f t="shared" ca="1" si="3"/>
        <v>243</v>
      </c>
      <c r="I242" s="52"/>
      <c r="J242" s="52"/>
      <c r="K242" s="52"/>
    </row>
    <row r="243" spans="1:11" x14ac:dyDescent="0.3">
      <c r="A243" s="52" t="str">
        <f>'Raw Data'!A243</f>
        <v>Colgate</v>
      </c>
      <c r="B243" s="52">
        <f ca="1">'Raw Data'!B243*($K$2/_xlfn.STDEV.P('Raw Data'!B$2:'Raw Data'!B$352)) + ($J$2-($K$2/_xlfn.STDEV.P('Raw Data'!B$2:'Raw Data'!B$352))*AVERAGE('Raw Data'!B$2:'Raw Data'!B$352))</f>
        <v>65.672035922885271</v>
      </c>
      <c r="C243" s="52">
        <f ca="1">'Raw Data'!C243*($K$2/_xlfn.STDEV.P('Raw Data'!C$2:'Raw Data'!C$352)) + ($J$2-($K$2/_xlfn.STDEV.P('Raw Data'!C$2:'Raw Data'!C$352))*AVERAGE('Raw Data'!C$2:'Raw Data'!C$352))</f>
        <v>65.440212186152067</v>
      </c>
      <c r="D243" s="52">
        <f ca="1">'Raw Data'!D243*($K$2/_xlfn.STDEV.P('Raw Data'!D$2:'Raw Data'!D$352)) + ($J$2-($K$2/_xlfn.STDEV.P('Raw Data'!D$2:'Raw Data'!D$352))*AVERAGE('Raw Data'!D$2:'Raw Data'!D$352))</f>
        <v>65.8</v>
      </c>
      <c r="E243" s="52" t="str">
        <f ca="1">IFERROR($J$4+('Raw Data'!H243-MIN('Raw Data'!H$2:'Raw Data'!H$352))*($J$3-$J$4)/(MAX('Raw Data'!H$2:'Raw Data'!H$352)-MIN('Raw Data'!H$2:'Raw Data'!H$352)),"")</f>
        <v/>
      </c>
      <c r="F243" s="52" t="str">
        <f ca="1">IFERROR($J$4+('Raw Data'!I243-MIN('Raw Data'!I$2:'Raw Data'!I$352))*($J$3-$J$4)/(MAX('Raw Data'!I$2:'Raw Data'!I$352)-MIN('Raw Data'!I$2:'Raw Data'!I$352)),"")</f>
        <v/>
      </c>
      <c r="G243" s="52">
        <f ca="1">IF(Bracket!$I$1="Composite",AVERAGE(B243:F243),IF(Bracket!$I$1="Kenpom",B243,IF(Bracket!$I$1="PVA",C243,IF(Bracket!$I$1="Sagarin Predictor",D243,IF(Bracket!$I$1="No Preseason",AVERAGE(B243:D243),"")))))</f>
        <v>65.637416036345783</v>
      </c>
      <c r="H243" s="63">
        <f t="shared" ca="1" si="3"/>
        <v>252</v>
      </c>
      <c r="I243" s="52"/>
      <c r="J243" s="52"/>
      <c r="K243" s="52"/>
    </row>
    <row r="244" spans="1:11" x14ac:dyDescent="0.3">
      <c r="A244" s="52" t="str">
        <f>'Raw Data'!A244</f>
        <v>Saint Louis</v>
      </c>
      <c r="B244" s="52">
        <f ca="1">'Raw Data'!B244*($K$2/_xlfn.STDEV.P('Raw Data'!B$2:'Raw Data'!B$352)) + ($J$2-($K$2/_xlfn.STDEV.P('Raw Data'!B$2:'Raw Data'!B$352))*AVERAGE('Raw Data'!B$2:'Raw Data'!B$352))</f>
        <v>65.351438719603806</v>
      </c>
      <c r="C244" s="52">
        <f ca="1">'Raw Data'!C244*($K$2/_xlfn.STDEV.P('Raw Data'!C$2:'Raw Data'!C$352)) + ($J$2-($K$2/_xlfn.STDEV.P('Raw Data'!C$2:'Raw Data'!C$352))*AVERAGE('Raw Data'!C$2:'Raw Data'!C$352))</f>
        <v>68.154302423690595</v>
      </c>
      <c r="D244" s="52">
        <f ca="1">'Raw Data'!D244*($K$2/_xlfn.STDEV.P('Raw Data'!D$2:'Raw Data'!D$352)) + ($J$2-($K$2/_xlfn.STDEV.P('Raw Data'!D$2:'Raw Data'!D$352))*AVERAGE('Raw Data'!D$2:'Raw Data'!D$352))</f>
        <v>67.86</v>
      </c>
      <c r="E244" s="52" t="str">
        <f ca="1">IFERROR($J$4+('Raw Data'!H244-MIN('Raw Data'!H$2:'Raw Data'!H$352))*($J$3-$J$4)/(MAX('Raw Data'!H$2:'Raw Data'!H$352)-MIN('Raw Data'!H$2:'Raw Data'!H$352)),"")</f>
        <v/>
      </c>
      <c r="F244" s="52" t="str">
        <f ca="1">IFERROR($J$4+('Raw Data'!I244-MIN('Raw Data'!I$2:'Raw Data'!I$352))*($J$3-$J$4)/(MAX('Raw Data'!I$2:'Raw Data'!I$352)-MIN('Raw Data'!I$2:'Raw Data'!I$352)),"")</f>
        <v/>
      </c>
      <c r="G244" s="52">
        <f ca="1">IF(Bracket!$I$1="Composite",AVERAGE(B244:F244),IF(Bracket!$I$1="Kenpom",B244,IF(Bracket!$I$1="PVA",C244,IF(Bracket!$I$1="Sagarin Predictor",D244,IF(Bracket!$I$1="No Preseason",AVERAGE(B244:D244),"")))))</f>
        <v>67.121913714431471</v>
      </c>
      <c r="H244" s="63">
        <f t="shared" ca="1" si="3"/>
        <v>228</v>
      </c>
      <c r="I244" s="52"/>
      <c r="J244" s="52"/>
      <c r="K244" s="52"/>
    </row>
    <row r="245" spans="1:11" x14ac:dyDescent="0.3">
      <c r="A245" s="52" t="str">
        <f>'Raw Data'!A245</f>
        <v>Manhattan</v>
      </c>
      <c r="B245" s="52">
        <f ca="1">'Raw Data'!B245*($K$2/_xlfn.STDEV.P('Raw Data'!B$2:'Raw Data'!B$352)) + ($J$2-($K$2/_xlfn.STDEV.P('Raw Data'!B$2:'Raw Data'!B$352))*AVERAGE('Raw Data'!B$2:'Raw Data'!B$352))</f>
        <v>65.573970895999167</v>
      </c>
      <c r="C245" s="52">
        <f ca="1">'Raw Data'!C245*($K$2/_xlfn.STDEV.P('Raw Data'!C$2:'Raw Data'!C$352)) + ($J$2-($K$2/_xlfn.STDEV.P('Raw Data'!C$2:'Raw Data'!C$352))*AVERAGE('Raw Data'!C$2:'Raw Data'!C$352))</f>
        <v>65.440212186152067</v>
      </c>
      <c r="D245" s="52">
        <f ca="1">'Raw Data'!D245*($K$2/_xlfn.STDEV.P('Raw Data'!D$2:'Raw Data'!D$352)) + ($J$2-($K$2/_xlfn.STDEV.P('Raw Data'!D$2:'Raw Data'!D$352))*AVERAGE('Raw Data'!D$2:'Raw Data'!D$352))</f>
        <v>66</v>
      </c>
      <c r="E245" s="52" t="str">
        <f ca="1">IFERROR($J$4+('Raw Data'!H245-MIN('Raw Data'!H$2:'Raw Data'!H$352))*($J$3-$J$4)/(MAX('Raw Data'!H$2:'Raw Data'!H$352)-MIN('Raw Data'!H$2:'Raw Data'!H$352)),"")</f>
        <v/>
      </c>
      <c r="F245" s="52" t="str">
        <f ca="1">IFERROR($J$4+('Raw Data'!I245-MIN('Raw Data'!I$2:'Raw Data'!I$352))*($J$3-$J$4)/(MAX('Raw Data'!I$2:'Raw Data'!I$352)-MIN('Raw Data'!I$2:'Raw Data'!I$352)),"")</f>
        <v/>
      </c>
      <c r="G245" s="52">
        <f ca="1">IF(Bracket!$I$1="Composite",AVERAGE(B245:F245),IF(Bracket!$I$1="Kenpom",B245,IF(Bracket!$I$1="PVA",C245,IF(Bracket!$I$1="Sagarin Predictor",D245,IF(Bracket!$I$1="No Preseason",AVERAGE(B245:D245),"")))))</f>
        <v>65.671394360717088</v>
      </c>
      <c r="H245" s="63">
        <f t="shared" ca="1" si="3"/>
        <v>251</v>
      </c>
      <c r="I245" s="52"/>
      <c r="J245" s="52"/>
      <c r="K245" s="52"/>
    </row>
    <row r="246" spans="1:11" x14ac:dyDescent="0.3">
      <c r="A246" s="52" t="str">
        <f>'Raw Data'!A246</f>
        <v>Air Force</v>
      </c>
      <c r="B246" s="52">
        <f ca="1">'Raw Data'!B246*($K$2/_xlfn.STDEV.P('Raw Data'!B$2:'Raw Data'!B$352)) + ($J$2-($K$2/_xlfn.STDEV.P('Raw Data'!B$2:'Raw Data'!B$352))*AVERAGE('Raw Data'!B$2:'Raw Data'!B$352))</f>
        <v>64.823396267140225</v>
      </c>
      <c r="C246" s="52">
        <f ca="1">'Raw Data'!C246*($K$2/_xlfn.STDEV.P('Raw Data'!C$2:'Raw Data'!C$352)) + ($J$2-($K$2/_xlfn.STDEV.P('Raw Data'!C$2:'Raw Data'!C$352))*AVERAGE('Raw Data'!C$2:'Raw Data'!C$352))</f>
        <v>67.12036328558068</v>
      </c>
      <c r="D246" s="52">
        <f ca="1">'Raw Data'!D246*($K$2/_xlfn.STDEV.P('Raw Data'!D$2:'Raw Data'!D$352)) + ($J$2-($K$2/_xlfn.STDEV.P('Raw Data'!D$2:'Raw Data'!D$352))*AVERAGE('Raw Data'!D$2:'Raw Data'!D$352))</f>
        <v>66.36</v>
      </c>
      <c r="E246" s="52" t="str">
        <f ca="1">IFERROR($J$4+('Raw Data'!H246-MIN('Raw Data'!H$2:'Raw Data'!H$352))*($J$3-$J$4)/(MAX('Raw Data'!H$2:'Raw Data'!H$352)-MIN('Raw Data'!H$2:'Raw Data'!H$352)),"")</f>
        <v/>
      </c>
      <c r="F246" s="52" t="str">
        <f ca="1">IFERROR($J$4+('Raw Data'!I246-MIN('Raw Data'!I$2:'Raw Data'!I$352))*($J$3-$J$4)/(MAX('Raw Data'!I$2:'Raw Data'!I$352)-MIN('Raw Data'!I$2:'Raw Data'!I$352)),"")</f>
        <v/>
      </c>
      <c r="G246" s="52">
        <f ca="1">IF(Bracket!$I$1="Composite",AVERAGE(B246:F246),IF(Bracket!$I$1="Kenpom",B246,IF(Bracket!$I$1="PVA",C246,IF(Bracket!$I$1="Sagarin Predictor",D246,IF(Bracket!$I$1="No Preseason",AVERAGE(B246:D246),"")))))</f>
        <v>66.101253184240306</v>
      </c>
      <c r="H246" s="63">
        <f t="shared" ca="1" si="3"/>
        <v>242</v>
      </c>
      <c r="I246" s="52"/>
      <c r="J246" s="52"/>
      <c r="K246" s="52"/>
    </row>
    <row r="247" spans="1:11" x14ac:dyDescent="0.3">
      <c r="A247" s="52" t="str">
        <f>'Raw Data'!A247</f>
        <v>Kennesaw St</v>
      </c>
      <c r="B247" s="52">
        <f ca="1">'Raw Data'!B247*($K$2/_xlfn.STDEV.P('Raw Data'!B$2:'Raw Data'!B$352)) + ($J$2-($K$2/_xlfn.STDEV.P('Raw Data'!B$2:'Raw Data'!B$352))*AVERAGE('Raw Data'!B$2:'Raw Data'!B$352))</f>
        <v>65.132678275011756</v>
      </c>
      <c r="C247" s="52">
        <f ca="1">'Raw Data'!C247*($K$2/_xlfn.STDEV.P('Raw Data'!C$2:'Raw Data'!C$352)) + ($J$2-($K$2/_xlfn.STDEV.P('Raw Data'!C$2:'Raw Data'!C$352))*AVERAGE('Raw Data'!C$2:'Raw Data'!C$352))</f>
        <v>64.794000224833368</v>
      </c>
      <c r="D247" s="52">
        <f ca="1">'Raw Data'!D247*($K$2/_xlfn.STDEV.P('Raw Data'!D$2:'Raw Data'!D$352)) + ($J$2-($K$2/_xlfn.STDEV.P('Raw Data'!D$2:'Raw Data'!D$352))*AVERAGE('Raw Data'!D$2:'Raw Data'!D$352))</f>
        <v>63.97</v>
      </c>
      <c r="E247" s="52" t="str">
        <f ca="1">IFERROR($J$4+('Raw Data'!H247-MIN('Raw Data'!H$2:'Raw Data'!H$352))*($J$3-$J$4)/(MAX('Raw Data'!H$2:'Raw Data'!H$352)-MIN('Raw Data'!H$2:'Raw Data'!H$352)),"")</f>
        <v/>
      </c>
      <c r="F247" s="52" t="str">
        <f ca="1">IFERROR($J$4+('Raw Data'!I247-MIN('Raw Data'!I$2:'Raw Data'!I$352))*($J$3-$J$4)/(MAX('Raw Data'!I$2:'Raw Data'!I$352)-MIN('Raw Data'!I$2:'Raw Data'!I$352)),"")</f>
        <v/>
      </c>
      <c r="G247" s="52">
        <f ca="1">IF(Bracket!$I$1="Composite",AVERAGE(B247:F247),IF(Bracket!$I$1="Kenpom",B247,IF(Bracket!$I$1="PVA",C247,IF(Bracket!$I$1="Sagarin Predictor",D247,IF(Bracket!$I$1="No Preseason",AVERAGE(B247:D247),"")))))</f>
        <v>64.632226166615041</v>
      </c>
      <c r="H247" s="63">
        <f t="shared" ca="1" si="3"/>
        <v>263</v>
      </c>
      <c r="I247" s="52"/>
      <c r="J247" s="52"/>
      <c r="K247" s="52"/>
    </row>
    <row r="248" spans="1:11" x14ac:dyDescent="0.3">
      <c r="A248" s="52" t="str">
        <f>'Raw Data'!A248</f>
        <v>Santa Clara</v>
      </c>
      <c r="B248" s="52">
        <f ca="1">'Raw Data'!B248*($K$2/_xlfn.STDEV.P('Raw Data'!B$2:'Raw Data'!B$352)) + ($J$2-($K$2/_xlfn.STDEV.P('Raw Data'!B$2:'Raw Data'!B$352))*AVERAGE('Raw Data'!B$2:'Raw Data'!B$352))</f>
        <v>65.253373692717716</v>
      </c>
      <c r="C248" s="52">
        <f ca="1">'Raw Data'!C248*($K$2/_xlfn.STDEV.P('Raw Data'!C$2:'Raw Data'!C$352)) + ($J$2-($K$2/_xlfn.STDEV.P('Raw Data'!C$2:'Raw Data'!C$352))*AVERAGE('Raw Data'!C$2:'Raw Data'!C$352))</f>
        <v>66.861878501053198</v>
      </c>
      <c r="D248" s="52">
        <f ca="1">'Raw Data'!D248*($K$2/_xlfn.STDEV.P('Raw Data'!D$2:'Raw Data'!D$352)) + ($J$2-($K$2/_xlfn.STDEV.P('Raw Data'!D$2:'Raw Data'!D$352))*AVERAGE('Raw Data'!D$2:'Raw Data'!D$352))</f>
        <v>67.39</v>
      </c>
      <c r="E248" s="52" t="str">
        <f ca="1">IFERROR($J$4+('Raw Data'!H248-MIN('Raw Data'!H$2:'Raw Data'!H$352))*($J$3-$J$4)/(MAX('Raw Data'!H$2:'Raw Data'!H$352)-MIN('Raw Data'!H$2:'Raw Data'!H$352)),"")</f>
        <v/>
      </c>
      <c r="F248" s="52" t="str">
        <f ca="1">IFERROR($J$4+('Raw Data'!I248-MIN('Raw Data'!I$2:'Raw Data'!I$352))*($J$3-$J$4)/(MAX('Raw Data'!I$2:'Raw Data'!I$352)-MIN('Raw Data'!I$2:'Raw Data'!I$352)),"")</f>
        <v/>
      </c>
      <c r="G248" s="52">
        <f ca="1">IF(Bracket!$I$1="Composite",AVERAGE(B248:F248),IF(Bracket!$I$1="Kenpom",B248,IF(Bracket!$I$1="PVA",C248,IF(Bracket!$I$1="Sagarin Predictor",D248,IF(Bracket!$I$1="No Preseason",AVERAGE(B248:D248),"")))))</f>
        <v>66.501750731256962</v>
      </c>
      <c r="H248" s="63">
        <f t="shared" ca="1" si="3"/>
        <v>241</v>
      </c>
      <c r="I248" s="52"/>
      <c r="J248" s="52"/>
      <c r="K248" s="52"/>
    </row>
    <row r="249" spans="1:11" x14ac:dyDescent="0.3">
      <c r="A249" s="52" t="str">
        <f>'Raw Data'!A249</f>
        <v>Drexel</v>
      </c>
      <c r="B249" s="52">
        <f ca="1">'Raw Data'!B249*($K$2/_xlfn.STDEV.P('Raw Data'!B$2:'Raw Data'!B$352)) + ($J$2-($K$2/_xlfn.STDEV.P('Raw Data'!B$2:'Raw Data'!B$352))*AVERAGE('Raw Data'!B$2:'Raw Data'!B$352))</f>
        <v>65.185482520258105</v>
      </c>
      <c r="C249" s="52">
        <f ca="1">'Raw Data'!C249*($K$2/_xlfn.STDEV.P('Raw Data'!C$2:'Raw Data'!C$352)) + ($J$2-($K$2/_xlfn.STDEV.P('Raw Data'!C$2:'Raw Data'!C$352))*AVERAGE('Raw Data'!C$2:'Raw Data'!C$352))</f>
        <v>65.310969793888319</v>
      </c>
      <c r="D249" s="52">
        <f ca="1">'Raw Data'!D249*($K$2/_xlfn.STDEV.P('Raw Data'!D$2:'Raw Data'!D$352)) + ($J$2-($K$2/_xlfn.STDEV.P('Raw Data'!D$2:'Raw Data'!D$352))*AVERAGE('Raw Data'!D$2:'Raw Data'!D$352))</f>
        <v>66.150000000000006</v>
      </c>
      <c r="E249" s="52" t="str">
        <f ca="1">IFERROR($J$4+('Raw Data'!H249-MIN('Raw Data'!H$2:'Raw Data'!H$352))*($J$3-$J$4)/(MAX('Raw Data'!H$2:'Raw Data'!H$352)-MIN('Raw Data'!H$2:'Raw Data'!H$352)),"")</f>
        <v/>
      </c>
      <c r="F249" s="52" t="str">
        <f ca="1">IFERROR($J$4+('Raw Data'!I249-MIN('Raw Data'!I$2:'Raw Data'!I$352))*($J$3-$J$4)/(MAX('Raw Data'!I$2:'Raw Data'!I$352)-MIN('Raw Data'!I$2:'Raw Data'!I$352)),"")</f>
        <v/>
      </c>
      <c r="G249" s="52">
        <f ca="1">IF(Bracket!$I$1="Composite",AVERAGE(B249:F249),IF(Bracket!$I$1="Kenpom",B249,IF(Bracket!$I$1="PVA",C249,IF(Bracket!$I$1="Sagarin Predictor",D249,IF(Bracket!$I$1="No Preseason",AVERAGE(B249:D249),"")))))</f>
        <v>65.548817438048815</v>
      </c>
      <c r="H249" s="63">
        <f t="shared" ca="1" si="3"/>
        <v>253</v>
      </c>
      <c r="I249" s="52"/>
      <c r="J249" s="52"/>
      <c r="K249" s="52"/>
    </row>
    <row r="250" spans="1:11" x14ac:dyDescent="0.3">
      <c r="A250" s="52" t="str">
        <f>'Raw Data'!A250</f>
        <v>Portland State</v>
      </c>
      <c r="B250" s="52">
        <f ca="1">'Raw Data'!B250*($K$2/_xlfn.STDEV.P('Raw Data'!B$2:'Raw Data'!B$352)) + ($J$2-($K$2/_xlfn.STDEV.P('Raw Data'!B$2:'Raw Data'!B$352))*AVERAGE('Raw Data'!B$2:'Raw Data'!B$352))</f>
        <v>64.514114259268695</v>
      </c>
      <c r="C250" s="52">
        <f ca="1">'Raw Data'!C250*($K$2/_xlfn.STDEV.P('Raw Data'!C$2:'Raw Data'!C$352)) + ($J$2-($K$2/_xlfn.STDEV.P('Raw Data'!C$2:'Raw Data'!C$352))*AVERAGE('Raw Data'!C$2:'Raw Data'!C$352))</f>
        <v>65.052485009360851</v>
      </c>
      <c r="D250" s="52">
        <f ca="1">'Raw Data'!D250*($K$2/_xlfn.STDEV.P('Raw Data'!D$2:'Raw Data'!D$352)) + ($J$2-($K$2/_xlfn.STDEV.P('Raw Data'!D$2:'Raw Data'!D$352))*AVERAGE('Raw Data'!D$2:'Raw Data'!D$352))</f>
        <v>65.239999999999995</v>
      </c>
      <c r="E250" s="52" t="str">
        <f ca="1">IFERROR($J$4+('Raw Data'!H250-MIN('Raw Data'!H$2:'Raw Data'!H$352))*($J$3-$J$4)/(MAX('Raw Data'!H$2:'Raw Data'!H$352)-MIN('Raw Data'!H$2:'Raw Data'!H$352)),"")</f>
        <v/>
      </c>
      <c r="F250" s="52" t="str">
        <f ca="1">IFERROR($J$4+('Raw Data'!I250-MIN('Raw Data'!I$2:'Raw Data'!I$352))*($J$3-$J$4)/(MAX('Raw Data'!I$2:'Raw Data'!I$352)-MIN('Raw Data'!I$2:'Raw Data'!I$352)),"")</f>
        <v/>
      </c>
      <c r="G250" s="52">
        <f ca="1">IF(Bracket!$I$1="Composite",AVERAGE(B250:F250),IF(Bracket!$I$1="Kenpom",B250,IF(Bracket!$I$1="PVA",C250,IF(Bracket!$I$1="Sagarin Predictor",D250,IF(Bracket!$I$1="No Preseason",AVERAGE(B250:D250),"")))))</f>
        <v>64.935533089543185</v>
      </c>
      <c r="H250" s="63">
        <f t="shared" ca="1" si="3"/>
        <v>261</v>
      </c>
      <c r="I250" s="52"/>
      <c r="J250" s="52"/>
      <c r="K250" s="52"/>
    </row>
    <row r="251" spans="1:11" x14ac:dyDescent="0.3">
      <c r="A251" s="52" t="str">
        <f>'Raw Data'!A251</f>
        <v>UC Davis</v>
      </c>
      <c r="B251" s="52">
        <f ca="1">'Raw Data'!B251*($K$2/_xlfn.STDEV.P('Raw Data'!B$2:'Raw Data'!B$352)) + ($J$2-($K$2/_xlfn.STDEV.P('Raw Data'!B$2:'Raw Data'!B$352))*AVERAGE('Raw Data'!B$2:'Raw Data'!B$352))</f>
        <v>65.189254252061417</v>
      </c>
      <c r="C251" s="52">
        <f ca="1">'Raw Data'!C251*($K$2/_xlfn.STDEV.P('Raw Data'!C$2:'Raw Data'!C$352)) + ($J$2-($K$2/_xlfn.STDEV.P('Raw Data'!C$2:'Raw Data'!C$352))*AVERAGE('Raw Data'!C$2:'Raw Data'!C$352))</f>
        <v>65.698696970679549</v>
      </c>
      <c r="D251" s="52">
        <f ca="1">'Raw Data'!D251*($K$2/_xlfn.STDEV.P('Raw Data'!D$2:'Raw Data'!D$352)) + ($J$2-($K$2/_xlfn.STDEV.P('Raw Data'!D$2:'Raw Data'!D$352))*AVERAGE('Raw Data'!D$2:'Raw Data'!D$352))</f>
        <v>67.06</v>
      </c>
      <c r="E251" s="52" t="str">
        <f ca="1">IFERROR($J$4+('Raw Data'!H251-MIN('Raw Data'!H$2:'Raw Data'!H$352))*($J$3-$J$4)/(MAX('Raw Data'!H$2:'Raw Data'!H$352)-MIN('Raw Data'!H$2:'Raw Data'!H$352)),"")</f>
        <v/>
      </c>
      <c r="F251" s="52" t="str">
        <f ca="1">IFERROR($J$4+('Raw Data'!I251-MIN('Raw Data'!I$2:'Raw Data'!I$352))*($J$3-$J$4)/(MAX('Raw Data'!I$2:'Raw Data'!I$352)-MIN('Raw Data'!I$2:'Raw Data'!I$352)),"")</f>
        <v/>
      </c>
      <c r="G251" s="52">
        <f ca="1">IF(Bracket!$I$1="Composite",AVERAGE(B251:F251),IF(Bracket!$I$1="Kenpom",B251,IF(Bracket!$I$1="PVA",C251,IF(Bracket!$I$1="Sagarin Predictor",D251,IF(Bracket!$I$1="No Preseason",AVERAGE(B251:D251),"")))))</f>
        <v>65.982650407580323</v>
      </c>
      <c r="H251" s="63">
        <f t="shared" ca="1" si="3"/>
        <v>246</v>
      </c>
      <c r="I251" s="52"/>
      <c r="J251" s="52"/>
      <c r="K251" s="52"/>
    </row>
    <row r="252" spans="1:11" x14ac:dyDescent="0.3">
      <c r="A252" s="52" t="str">
        <f>'Raw Data'!A252</f>
        <v>Penn</v>
      </c>
      <c r="B252" s="52">
        <f ca="1">'Raw Data'!B252*($K$2/_xlfn.STDEV.P('Raw Data'!B$2:'Raw Data'!B$352)) + ($J$2-($K$2/_xlfn.STDEV.P('Raw Data'!B$2:'Raw Data'!B$352))*AVERAGE('Raw Data'!B$2:'Raw Data'!B$352))</f>
        <v>65.038384979928964</v>
      </c>
      <c r="C252" s="52">
        <f ca="1">'Raw Data'!C252*($K$2/_xlfn.STDEV.P('Raw Data'!C$2:'Raw Data'!C$352)) + ($J$2-($K$2/_xlfn.STDEV.P('Raw Data'!C$2:'Raw Data'!C$352))*AVERAGE('Raw Data'!C$2:'Raw Data'!C$352))</f>
        <v>65.698696970679549</v>
      </c>
      <c r="D252" s="52">
        <f ca="1">'Raw Data'!D252*($K$2/_xlfn.STDEV.P('Raw Data'!D$2:'Raw Data'!D$352)) + ($J$2-($K$2/_xlfn.STDEV.P('Raw Data'!D$2:'Raw Data'!D$352))*AVERAGE('Raw Data'!D$2:'Raw Data'!D$352))</f>
        <v>66.680000000000007</v>
      </c>
      <c r="E252" s="52" t="str">
        <f ca="1">IFERROR($J$4+('Raw Data'!H252-MIN('Raw Data'!H$2:'Raw Data'!H$352))*($J$3-$J$4)/(MAX('Raw Data'!H$2:'Raw Data'!H$352)-MIN('Raw Data'!H$2:'Raw Data'!H$352)),"")</f>
        <v/>
      </c>
      <c r="F252" s="52" t="str">
        <f ca="1">IFERROR($J$4+('Raw Data'!I252-MIN('Raw Data'!I$2:'Raw Data'!I$352))*($J$3-$J$4)/(MAX('Raw Data'!I$2:'Raw Data'!I$352)-MIN('Raw Data'!I$2:'Raw Data'!I$352)),"")</f>
        <v/>
      </c>
      <c r="G252" s="52">
        <f ca="1">IF(Bracket!$I$1="Composite",AVERAGE(B252:F252),IF(Bracket!$I$1="Kenpom",B252,IF(Bracket!$I$1="PVA",C252,IF(Bracket!$I$1="Sagarin Predictor",D252,IF(Bracket!$I$1="No Preseason",AVERAGE(B252:D252),"")))))</f>
        <v>65.805693983536173</v>
      </c>
      <c r="H252" s="63">
        <f t="shared" ca="1" si="3"/>
        <v>249</v>
      </c>
      <c r="I252" s="52"/>
      <c r="J252" s="52"/>
      <c r="K252" s="52"/>
    </row>
    <row r="253" spans="1:11" x14ac:dyDescent="0.3">
      <c r="A253" s="52" t="str">
        <f>'Raw Data'!A253</f>
        <v>Austin Peay</v>
      </c>
      <c r="B253" s="52">
        <f ca="1">'Raw Data'!B253*($K$2/_xlfn.STDEV.P('Raw Data'!B$2:'Raw Data'!B$352)) + ($J$2-($K$2/_xlfn.STDEV.P('Raw Data'!B$2:'Raw Data'!B$352))*AVERAGE('Raw Data'!B$2:'Raw Data'!B$352))</f>
        <v>67.878499027822386</v>
      </c>
      <c r="C253" s="52">
        <f ca="1">'Raw Data'!C253*($K$2/_xlfn.STDEV.P('Raw Data'!C$2:'Raw Data'!C$352)) + ($J$2-($K$2/_xlfn.STDEV.P('Raw Data'!C$2:'Raw Data'!C$352))*AVERAGE('Raw Data'!C$2:'Raw Data'!C$352))</f>
        <v>67.378848070108162</v>
      </c>
      <c r="D253" s="52">
        <f ca="1">'Raw Data'!D253*($K$2/_xlfn.STDEV.P('Raw Data'!D$2:'Raw Data'!D$352)) + ($J$2-($K$2/_xlfn.STDEV.P('Raw Data'!D$2:'Raw Data'!D$352))*AVERAGE('Raw Data'!D$2:'Raw Data'!D$352))</f>
        <v>66.849999999999994</v>
      </c>
      <c r="E253" s="52" t="str">
        <f ca="1">IFERROR($J$4+('Raw Data'!H253-MIN('Raw Data'!H$2:'Raw Data'!H$352))*($J$3-$J$4)/(MAX('Raw Data'!H$2:'Raw Data'!H$352)-MIN('Raw Data'!H$2:'Raw Data'!H$352)),"")</f>
        <v/>
      </c>
      <c r="F253" s="52" t="str">
        <f ca="1">IFERROR($J$4+('Raw Data'!I253-MIN('Raw Data'!I$2:'Raw Data'!I$352))*($J$3-$J$4)/(MAX('Raw Data'!I$2:'Raw Data'!I$352)-MIN('Raw Data'!I$2:'Raw Data'!I$352)),"")</f>
        <v/>
      </c>
      <c r="G253" s="52">
        <f ca="1">IF(Bracket!$I$1="Composite",AVERAGE(B253:F253),IF(Bracket!$I$1="Kenpom",B253,IF(Bracket!$I$1="PVA",C253,IF(Bracket!$I$1="Sagarin Predictor",D253,IF(Bracket!$I$1="No Preseason",AVERAGE(B253:D253),"")))))</f>
        <v>67.369115699310186</v>
      </c>
      <c r="H253" s="63">
        <f t="shared" ca="1" si="3"/>
        <v>223</v>
      </c>
      <c r="I253" s="52"/>
      <c r="J253" s="52"/>
      <c r="K253" s="52"/>
    </row>
    <row r="254" spans="1:11" x14ac:dyDescent="0.3">
      <c r="A254" s="52" t="str">
        <f>'Raw Data'!A254</f>
        <v>Miami (OH)</v>
      </c>
      <c r="B254" s="52">
        <f ca="1">'Raw Data'!B254*($K$2/_xlfn.STDEV.P('Raw Data'!B$2:'Raw Data'!B$352)) + ($J$2-($K$2/_xlfn.STDEV.P('Raw Data'!B$2:'Raw Data'!B$352))*AVERAGE('Raw Data'!B$2:'Raw Data'!B$352))</f>
        <v>66.05298083501971</v>
      </c>
      <c r="C254" s="52">
        <f ca="1">'Raw Data'!C254*($K$2/_xlfn.STDEV.P('Raw Data'!C$2:'Raw Data'!C$352)) + ($J$2-($K$2/_xlfn.STDEV.P('Raw Data'!C$2:'Raw Data'!C$352))*AVERAGE('Raw Data'!C$2:'Raw Data'!C$352))</f>
        <v>67.508090462371896</v>
      </c>
      <c r="D254" s="52">
        <f ca="1">'Raw Data'!D254*($K$2/_xlfn.STDEV.P('Raw Data'!D$2:'Raw Data'!D$352)) + ($J$2-($K$2/_xlfn.STDEV.P('Raw Data'!D$2:'Raw Data'!D$352))*AVERAGE('Raw Data'!D$2:'Raw Data'!D$352))</f>
        <v>66.290000000000006</v>
      </c>
      <c r="E254" s="52" t="str">
        <f ca="1">IFERROR($J$4+('Raw Data'!H254-MIN('Raw Data'!H$2:'Raw Data'!H$352))*($J$3-$J$4)/(MAX('Raw Data'!H$2:'Raw Data'!H$352)-MIN('Raw Data'!H$2:'Raw Data'!H$352)),"")</f>
        <v/>
      </c>
      <c r="F254" s="52" t="str">
        <f ca="1">IFERROR($J$4+('Raw Data'!I254-MIN('Raw Data'!I$2:'Raw Data'!I$352))*($J$3-$J$4)/(MAX('Raw Data'!I$2:'Raw Data'!I$352)-MIN('Raw Data'!I$2:'Raw Data'!I$352)),"")</f>
        <v/>
      </c>
      <c r="G254" s="52">
        <f ca="1">IF(Bracket!$I$1="Composite",AVERAGE(B254:F254),IF(Bracket!$I$1="Kenpom",B254,IF(Bracket!$I$1="PVA",C254,IF(Bracket!$I$1="Sagarin Predictor",D254,IF(Bracket!$I$1="No Preseason",AVERAGE(B254:D254),"")))))</f>
        <v>66.617023765797214</v>
      </c>
      <c r="H254" s="63">
        <f t="shared" ca="1" si="3"/>
        <v>238</v>
      </c>
      <c r="I254" s="52"/>
      <c r="J254" s="52"/>
      <c r="K254" s="52"/>
    </row>
    <row r="255" spans="1:11" x14ac:dyDescent="0.3">
      <c r="A255" s="52" t="str">
        <f>'Raw Data'!A255</f>
        <v>Norfolk State</v>
      </c>
      <c r="B255" s="52">
        <f ca="1">'Raw Data'!B255*($K$2/_xlfn.STDEV.P('Raw Data'!B$2:'Raw Data'!B$352)) + ($J$2-($K$2/_xlfn.STDEV.P('Raw Data'!B$2:'Raw Data'!B$352))*AVERAGE('Raw Data'!B$2:'Raw Data'!B$352))</f>
        <v>65.585286091409102</v>
      </c>
      <c r="C255" s="52">
        <f ca="1">'Raw Data'!C255*($K$2/_xlfn.STDEV.P('Raw Data'!C$2:'Raw Data'!C$352)) + ($J$2-($K$2/_xlfn.STDEV.P('Raw Data'!C$2:'Raw Data'!C$352))*AVERAGE('Raw Data'!C$2:'Raw Data'!C$352))</f>
        <v>65.698696970679549</v>
      </c>
      <c r="D255" s="52">
        <f ca="1">'Raw Data'!D255*($K$2/_xlfn.STDEV.P('Raw Data'!D$2:'Raw Data'!D$352)) + ($J$2-($K$2/_xlfn.STDEV.P('Raw Data'!D$2:'Raw Data'!D$352))*AVERAGE('Raw Data'!D$2:'Raw Data'!D$352))</f>
        <v>66.3</v>
      </c>
      <c r="E255" s="52" t="str">
        <f ca="1">IFERROR($J$4+('Raw Data'!H255-MIN('Raw Data'!H$2:'Raw Data'!H$352))*($J$3-$J$4)/(MAX('Raw Data'!H$2:'Raw Data'!H$352)-MIN('Raw Data'!H$2:'Raw Data'!H$352)),"")</f>
        <v/>
      </c>
      <c r="F255" s="52" t="str">
        <f ca="1">IFERROR($J$4+('Raw Data'!I255-MIN('Raw Data'!I$2:'Raw Data'!I$352))*($J$3-$J$4)/(MAX('Raw Data'!I$2:'Raw Data'!I$352)-MIN('Raw Data'!I$2:'Raw Data'!I$352)),"")</f>
        <v/>
      </c>
      <c r="G255" s="52">
        <f ca="1">IF(Bracket!$I$1="Composite",AVERAGE(B255:F255),IF(Bracket!$I$1="Kenpom",B255,IF(Bracket!$I$1="PVA",C255,IF(Bracket!$I$1="Sagarin Predictor",D255,IF(Bracket!$I$1="No Preseason",AVERAGE(B255:D255),"")))))</f>
        <v>65.861327687362873</v>
      </c>
      <c r="H255" s="63">
        <f t="shared" ca="1" si="3"/>
        <v>248</v>
      </c>
      <c r="I255" s="52"/>
      <c r="J255" s="52"/>
      <c r="K255" s="52"/>
    </row>
    <row r="256" spans="1:11" x14ac:dyDescent="0.3">
      <c r="A256" s="52" t="str">
        <f>'Raw Data'!A256</f>
        <v>Arkansas State</v>
      </c>
      <c r="B256" s="52">
        <f ca="1">'Raw Data'!B256*($K$2/_xlfn.STDEV.P('Raw Data'!B$2:'Raw Data'!B$352)) + ($J$2-($K$2/_xlfn.STDEV.P('Raw Data'!B$2:'Raw Data'!B$352))*AVERAGE('Raw Data'!B$2:'Raw Data'!B$352))</f>
        <v>65.506079723539571</v>
      </c>
      <c r="C256" s="52">
        <f ca="1">'Raw Data'!C256*($K$2/_xlfn.STDEV.P('Raw Data'!C$2:'Raw Data'!C$352)) + ($J$2-($K$2/_xlfn.STDEV.P('Raw Data'!C$2:'Raw Data'!C$352))*AVERAGE('Raw Data'!C$2:'Raw Data'!C$352))</f>
        <v>65.957181755207017</v>
      </c>
      <c r="D256" s="52">
        <f ca="1">'Raw Data'!D256*($K$2/_xlfn.STDEV.P('Raw Data'!D$2:'Raw Data'!D$352)) + ($J$2-($K$2/_xlfn.STDEV.P('Raw Data'!D$2:'Raw Data'!D$352))*AVERAGE('Raw Data'!D$2:'Raw Data'!D$352))</f>
        <v>65.900000000000006</v>
      </c>
      <c r="E256" s="52" t="str">
        <f ca="1">IFERROR($J$4+('Raw Data'!H256-MIN('Raw Data'!H$2:'Raw Data'!H$352))*($J$3-$J$4)/(MAX('Raw Data'!H$2:'Raw Data'!H$352)-MIN('Raw Data'!H$2:'Raw Data'!H$352)),"")</f>
        <v/>
      </c>
      <c r="F256" s="52" t="str">
        <f ca="1">IFERROR($J$4+('Raw Data'!I256-MIN('Raw Data'!I$2:'Raw Data'!I$352))*($J$3-$J$4)/(MAX('Raw Data'!I$2:'Raw Data'!I$352)-MIN('Raw Data'!I$2:'Raw Data'!I$352)),"")</f>
        <v/>
      </c>
      <c r="G256" s="52">
        <f ca="1">IF(Bracket!$I$1="Composite",AVERAGE(B256:F256),IF(Bracket!$I$1="Kenpom",B256,IF(Bracket!$I$1="PVA",C256,IF(Bracket!$I$1="Sagarin Predictor",D256,IF(Bracket!$I$1="No Preseason",AVERAGE(B256:D256),"")))))</f>
        <v>65.78775382624886</v>
      </c>
      <c r="H256" s="63">
        <f t="shared" ca="1" si="3"/>
        <v>250</v>
      </c>
      <c r="I256" s="52"/>
      <c r="J256" s="52"/>
      <c r="K256" s="52"/>
    </row>
    <row r="257" spans="1:11" x14ac:dyDescent="0.3">
      <c r="A257" s="52" t="str">
        <f>'Raw Data'!A257</f>
        <v>South Alabama</v>
      </c>
      <c r="B257" s="52">
        <f ca="1">'Raw Data'!B257*($K$2/_xlfn.STDEV.P('Raw Data'!B$2:'Raw Data'!B$352)) + ($J$2-($K$2/_xlfn.STDEV.P('Raw Data'!B$2:'Raw Data'!B$352))*AVERAGE('Raw Data'!B$2:'Raw Data'!B$352))</f>
        <v>64.95540688025612</v>
      </c>
      <c r="C257" s="52">
        <f ca="1">'Raw Data'!C257*($K$2/_xlfn.STDEV.P('Raw Data'!C$2:'Raw Data'!C$352)) + ($J$2-($K$2/_xlfn.STDEV.P('Raw Data'!C$2:'Raw Data'!C$352))*AVERAGE('Raw Data'!C$2:'Raw Data'!C$352))</f>
        <v>65.181727401624585</v>
      </c>
      <c r="D257" s="52">
        <f ca="1">'Raw Data'!D257*($K$2/_xlfn.STDEV.P('Raw Data'!D$2:'Raw Data'!D$352)) + ($J$2-($K$2/_xlfn.STDEV.P('Raw Data'!D$2:'Raw Data'!D$352))*AVERAGE('Raw Data'!D$2:'Raw Data'!D$352))</f>
        <v>65.05</v>
      </c>
      <c r="E257" s="52" t="str">
        <f ca="1">IFERROR($J$4+('Raw Data'!H257-MIN('Raw Data'!H$2:'Raw Data'!H$352))*($J$3-$J$4)/(MAX('Raw Data'!H$2:'Raw Data'!H$352)-MIN('Raw Data'!H$2:'Raw Data'!H$352)),"")</f>
        <v/>
      </c>
      <c r="F257" s="52" t="str">
        <f ca="1">IFERROR($J$4+('Raw Data'!I257-MIN('Raw Data'!I$2:'Raw Data'!I$352))*($J$3-$J$4)/(MAX('Raw Data'!I$2:'Raw Data'!I$352)-MIN('Raw Data'!I$2:'Raw Data'!I$352)),"")</f>
        <v/>
      </c>
      <c r="G257" s="52">
        <f ca="1">IF(Bracket!$I$1="Composite",AVERAGE(B257:F257),IF(Bracket!$I$1="Kenpom",B257,IF(Bracket!$I$1="PVA",C257,IF(Bracket!$I$1="Sagarin Predictor",D257,IF(Bracket!$I$1="No Preseason",AVERAGE(B257:D257),"")))))</f>
        <v>65.062378093960248</v>
      </c>
      <c r="H257" s="63">
        <f t="shared" ca="1" si="3"/>
        <v>259</v>
      </c>
      <c r="I257" s="52"/>
      <c r="J257" s="52"/>
      <c r="K257" s="52"/>
    </row>
    <row r="258" spans="1:11" x14ac:dyDescent="0.3">
      <c r="A258" s="52" t="str">
        <f>'Raw Data'!A258</f>
        <v>Mount St Mary's</v>
      </c>
      <c r="B258" s="52">
        <f ca="1">'Raw Data'!B258*($K$2/_xlfn.STDEV.P('Raw Data'!B$2:'Raw Data'!B$352)) + ($J$2-($K$2/_xlfn.STDEV.P('Raw Data'!B$2:'Raw Data'!B$352))*AVERAGE('Raw Data'!B$2:'Raw Data'!B$352))</f>
        <v>65.185482520258105</v>
      </c>
      <c r="C258" s="52">
        <f ca="1">'Raw Data'!C258*($K$2/_xlfn.STDEV.P('Raw Data'!C$2:'Raw Data'!C$352)) + ($J$2-($K$2/_xlfn.STDEV.P('Raw Data'!C$2:'Raw Data'!C$352))*AVERAGE('Raw Data'!C$2:'Raw Data'!C$352))</f>
        <v>64.923242617097102</v>
      </c>
      <c r="D258" s="52">
        <f ca="1">'Raw Data'!D258*($K$2/_xlfn.STDEV.P('Raw Data'!D$2:'Raw Data'!D$352)) + ($J$2-($K$2/_xlfn.STDEV.P('Raw Data'!D$2:'Raw Data'!D$352))*AVERAGE('Raw Data'!D$2:'Raw Data'!D$352))</f>
        <v>64.989999999999995</v>
      </c>
      <c r="E258" s="52" t="str">
        <f ca="1">IFERROR($J$4+('Raw Data'!H258-MIN('Raw Data'!H$2:'Raw Data'!H$352))*($J$3-$J$4)/(MAX('Raw Data'!H$2:'Raw Data'!H$352)-MIN('Raw Data'!H$2:'Raw Data'!H$352)),"")</f>
        <v/>
      </c>
      <c r="F258" s="52" t="str">
        <f ca="1">IFERROR($J$4+('Raw Data'!I258-MIN('Raw Data'!I$2:'Raw Data'!I$352))*($J$3-$J$4)/(MAX('Raw Data'!I$2:'Raw Data'!I$352)-MIN('Raw Data'!I$2:'Raw Data'!I$352)),"")</f>
        <v/>
      </c>
      <c r="G258" s="52">
        <f ca="1">IF(Bracket!$I$1="Composite",AVERAGE(B258:F258),IF(Bracket!$I$1="Kenpom",B258,IF(Bracket!$I$1="PVA",C258,IF(Bracket!$I$1="Sagarin Predictor",D258,IF(Bracket!$I$1="No Preseason",AVERAGE(B258:D258),"")))))</f>
        <v>65.032908379118396</v>
      </c>
      <c r="H258" s="63">
        <f t="shared" ca="1" si="3"/>
        <v>260</v>
      </c>
      <c r="I258" s="52"/>
      <c r="J258" s="52"/>
      <c r="K258" s="52"/>
    </row>
    <row r="259" spans="1:11" x14ac:dyDescent="0.3">
      <c r="A259" s="52" t="str">
        <f>'Raw Data'!A259</f>
        <v>Montana State</v>
      </c>
      <c r="B259" s="52">
        <f ca="1">'Raw Data'!B259*($K$2/_xlfn.STDEV.P('Raw Data'!B$2:'Raw Data'!B$352)) + ($J$2-($K$2/_xlfn.STDEV.P('Raw Data'!B$2:'Raw Data'!B$352))*AVERAGE('Raw Data'!B$2:'Raw Data'!B$352))</f>
        <v>64.815852803533602</v>
      </c>
      <c r="C259" s="52">
        <f ca="1">'Raw Data'!C259*($K$2/_xlfn.STDEV.P('Raw Data'!C$2:'Raw Data'!C$352)) + ($J$2-($K$2/_xlfn.STDEV.P('Raw Data'!C$2:'Raw Data'!C$352))*AVERAGE('Raw Data'!C$2:'Raw Data'!C$352))</f>
        <v>64.794000224833368</v>
      </c>
      <c r="D259" s="52">
        <f ca="1">'Raw Data'!D259*($K$2/_xlfn.STDEV.P('Raw Data'!D$2:'Raw Data'!D$352)) + ($J$2-($K$2/_xlfn.STDEV.P('Raw Data'!D$2:'Raw Data'!D$352))*AVERAGE('Raw Data'!D$2:'Raw Data'!D$352))</f>
        <v>66.17</v>
      </c>
      <c r="E259" s="52" t="str">
        <f ca="1">IFERROR($J$4+('Raw Data'!H259-MIN('Raw Data'!H$2:'Raw Data'!H$352))*($J$3-$J$4)/(MAX('Raw Data'!H$2:'Raw Data'!H$352)-MIN('Raw Data'!H$2:'Raw Data'!H$352)),"")</f>
        <v/>
      </c>
      <c r="F259" s="52" t="str">
        <f ca="1">IFERROR($J$4+('Raw Data'!I259-MIN('Raw Data'!I$2:'Raw Data'!I$352))*($J$3-$J$4)/(MAX('Raw Data'!I$2:'Raw Data'!I$352)-MIN('Raw Data'!I$2:'Raw Data'!I$352)),"")</f>
        <v/>
      </c>
      <c r="G259" s="52">
        <f ca="1">IF(Bracket!$I$1="Composite",AVERAGE(B259:F259),IF(Bracket!$I$1="Kenpom",B259,IF(Bracket!$I$1="PVA",C259,IF(Bracket!$I$1="Sagarin Predictor",D259,IF(Bracket!$I$1="No Preseason",AVERAGE(B259:D259),"")))))</f>
        <v>65.259951009455662</v>
      </c>
      <c r="H259" s="63">
        <f t="shared" ref="H259:H322" ca="1" si="4">RANK(G259,$G$2:$G$352)</f>
        <v>255</v>
      </c>
      <c r="I259" s="52"/>
      <c r="J259" s="52"/>
      <c r="K259" s="52"/>
    </row>
    <row r="260" spans="1:11" x14ac:dyDescent="0.3">
      <c r="A260" s="52" t="str">
        <f>'Raw Data'!A260</f>
        <v>Boston College</v>
      </c>
      <c r="B260" s="52">
        <f ca="1">'Raw Data'!B260*($K$2/_xlfn.STDEV.P('Raw Data'!B$2:'Raw Data'!B$352)) + ($J$2-($K$2/_xlfn.STDEV.P('Raw Data'!B$2:'Raw Data'!B$352))*AVERAGE('Raw Data'!B$2:'Raw Data'!B$352))</f>
        <v>64.717787776647512</v>
      </c>
      <c r="C260" s="52">
        <f ca="1">'Raw Data'!C260*($K$2/_xlfn.STDEV.P('Raw Data'!C$2:'Raw Data'!C$352)) + ($J$2-($K$2/_xlfn.STDEV.P('Raw Data'!C$2:'Raw Data'!C$352))*AVERAGE('Raw Data'!C$2:'Raw Data'!C$352))</f>
        <v>68.025060031426861</v>
      </c>
      <c r="D260" s="52">
        <f ca="1">'Raw Data'!D260*($K$2/_xlfn.STDEV.P('Raw Data'!D$2:'Raw Data'!D$352)) + ($J$2-($K$2/_xlfn.STDEV.P('Raw Data'!D$2:'Raw Data'!D$352))*AVERAGE('Raw Data'!D$2:'Raw Data'!D$352))</f>
        <v>68.760000000000005</v>
      </c>
      <c r="E260" s="52" t="str">
        <f ca="1">IFERROR($J$4+('Raw Data'!H260-MIN('Raw Data'!H$2:'Raw Data'!H$352))*($J$3-$J$4)/(MAX('Raw Data'!H$2:'Raw Data'!H$352)-MIN('Raw Data'!H$2:'Raw Data'!H$352)),"")</f>
        <v/>
      </c>
      <c r="F260" s="52" t="str">
        <f ca="1">IFERROR($J$4+('Raw Data'!I260-MIN('Raw Data'!I$2:'Raw Data'!I$352))*($J$3-$J$4)/(MAX('Raw Data'!I$2:'Raw Data'!I$352)-MIN('Raw Data'!I$2:'Raw Data'!I$352)),"")</f>
        <v/>
      </c>
      <c r="G260" s="52">
        <f ca="1">IF(Bracket!$I$1="Composite",AVERAGE(B260:F260),IF(Bracket!$I$1="Kenpom",B260,IF(Bracket!$I$1="PVA",C260,IF(Bracket!$I$1="Sagarin Predictor",D260,IF(Bracket!$I$1="No Preseason",AVERAGE(B260:D260),"")))))</f>
        <v>67.167615936024788</v>
      </c>
      <c r="H260" s="63">
        <f t="shared" ca="1" si="4"/>
        <v>226</v>
      </c>
      <c r="I260" s="52"/>
      <c r="J260" s="52"/>
      <c r="K260" s="52"/>
    </row>
    <row r="261" spans="1:11" x14ac:dyDescent="0.3">
      <c r="A261" s="52" t="str">
        <f>'Raw Data'!A261</f>
        <v>Rice</v>
      </c>
      <c r="B261" s="52">
        <f ca="1">'Raw Data'!B261*($K$2/_xlfn.STDEV.P('Raw Data'!B$2:'Raw Data'!B$352)) + ($J$2-($K$2/_xlfn.STDEV.P('Raw Data'!B$2:'Raw Data'!B$352))*AVERAGE('Raw Data'!B$2:'Raw Data'!B$352))</f>
        <v>63.574953040244182</v>
      </c>
      <c r="C261" s="52">
        <f ca="1">'Raw Data'!C261*($K$2/_xlfn.STDEV.P('Raw Data'!C$2:'Raw Data'!C$352)) + ($J$2-($K$2/_xlfn.STDEV.P('Raw Data'!C$2:'Raw Data'!C$352))*AVERAGE('Raw Data'!C$2:'Raw Data'!C$352))</f>
        <v>63.243091517668489</v>
      </c>
      <c r="D261" s="52">
        <f ca="1">'Raw Data'!D261*($K$2/_xlfn.STDEV.P('Raw Data'!D$2:'Raw Data'!D$352)) + ($J$2-($K$2/_xlfn.STDEV.P('Raw Data'!D$2:'Raw Data'!D$352))*AVERAGE('Raw Data'!D$2:'Raw Data'!D$352))</f>
        <v>64.13</v>
      </c>
      <c r="E261" s="52" t="str">
        <f ca="1">IFERROR($J$4+('Raw Data'!H261-MIN('Raw Data'!H$2:'Raw Data'!H$352))*($J$3-$J$4)/(MAX('Raw Data'!H$2:'Raw Data'!H$352)-MIN('Raw Data'!H$2:'Raw Data'!H$352)),"")</f>
        <v/>
      </c>
      <c r="F261" s="52" t="str">
        <f ca="1">IFERROR($J$4+('Raw Data'!I261-MIN('Raw Data'!I$2:'Raw Data'!I$352))*($J$3-$J$4)/(MAX('Raw Data'!I$2:'Raw Data'!I$352)-MIN('Raw Data'!I$2:'Raw Data'!I$352)),"")</f>
        <v/>
      </c>
      <c r="G261" s="52">
        <f ca="1">IF(Bracket!$I$1="Composite",AVERAGE(B261:F261),IF(Bracket!$I$1="Kenpom",B261,IF(Bracket!$I$1="PVA",C261,IF(Bracket!$I$1="Sagarin Predictor",D261,IF(Bracket!$I$1="No Preseason",AVERAGE(B261:D261),"")))))</f>
        <v>63.649348185970894</v>
      </c>
      <c r="H261" s="63">
        <f t="shared" ca="1" si="4"/>
        <v>275</v>
      </c>
      <c r="I261" s="52"/>
      <c r="J261" s="52"/>
      <c r="K261" s="52"/>
    </row>
    <row r="262" spans="1:11" x14ac:dyDescent="0.3">
      <c r="A262" s="52" t="str">
        <f>'Raw Data'!A262</f>
        <v>Houston Baptist</v>
      </c>
      <c r="B262" s="52">
        <f ca="1">'Raw Data'!B262*($K$2/_xlfn.STDEV.P('Raw Data'!B$2:'Raw Data'!B$352)) + ($J$2-($K$2/_xlfn.STDEV.P('Raw Data'!B$2:'Raw Data'!B$352))*AVERAGE('Raw Data'!B$2:'Raw Data'!B$352))</f>
        <v>63.337333936635567</v>
      </c>
      <c r="C262" s="52">
        <f ca="1">'Raw Data'!C262*($K$2/_xlfn.STDEV.P('Raw Data'!C$2:'Raw Data'!C$352)) + ($J$2-($K$2/_xlfn.STDEV.P('Raw Data'!C$2:'Raw Data'!C$352))*AVERAGE('Raw Data'!C$2:'Raw Data'!C$352))</f>
        <v>64.535515440305886</v>
      </c>
      <c r="D262" s="52">
        <f ca="1">'Raw Data'!D262*($K$2/_xlfn.STDEV.P('Raw Data'!D$2:'Raw Data'!D$352)) + ($J$2-($K$2/_xlfn.STDEV.P('Raw Data'!D$2:'Raw Data'!D$352))*AVERAGE('Raw Data'!D$2:'Raw Data'!D$352))</f>
        <v>63.42</v>
      </c>
      <c r="E262" s="52" t="str">
        <f ca="1">IFERROR($J$4+('Raw Data'!H262-MIN('Raw Data'!H$2:'Raw Data'!H$352))*($J$3-$J$4)/(MAX('Raw Data'!H$2:'Raw Data'!H$352)-MIN('Raw Data'!H$2:'Raw Data'!H$352)),"")</f>
        <v/>
      </c>
      <c r="F262" s="52" t="str">
        <f ca="1">IFERROR($J$4+('Raw Data'!I262-MIN('Raw Data'!I$2:'Raw Data'!I$352))*($J$3-$J$4)/(MAX('Raw Data'!I$2:'Raw Data'!I$352)-MIN('Raw Data'!I$2:'Raw Data'!I$352)),"")</f>
        <v/>
      </c>
      <c r="G262" s="52">
        <f ca="1">IF(Bracket!$I$1="Composite",AVERAGE(B262:F262),IF(Bracket!$I$1="Kenpom",B262,IF(Bracket!$I$1="PVA",C262,IF(Bracket!$I$1="Sagarin Predictor",D262,IF(Bracket!$I$1="No Preseason",AVERAGE(B262:D262),"")))))</f>
        <v>63.764283125647147</v>
      </c>
      <c r="H262" s="63">
        <f t="shared" ca="1" si="4"/>
        <v>273</v>
      </c>
      <c r="I262" s="52"/>
      <c r="J262" s="52"/>
      <c r="K262" s="52"/>
    </row>
    <row r="263" spans="1:11" x14ac:dyDescent="0.3">
      <c r="A263" s="52" t="str">
        <f>'Raw Data'!A263</f>
        <v>Eastern Illinois</v>
      </c>
      <c r="B263" s="52">
        <f ca="1">'Raw Data'!B263*($K$2/_xlfn.STDEV.P('Raw Data'!B$2:'Raw Data'!B$352)) + ($J$2-($K$2/_xlfn.STDEV.P('Raw Data'!B$2:'Raw Data'!B$352))*AVERAGE('Raw Data'!B$2:'Raw Data'!B$352))</f>
        <v>63.823887339262726</v>
      </c>
      <c r="C263" s="52">
        <f ca="1">'Raw Data'!C263*($K$2/_xlfn.STDEV.P('Raw Data'!C$2:'Raw Data'!C$352)) + ($J$2-($K$2/_xlfn.STDEV.P('Raw Data'!C$2:'Raw Data'!C$352))*AVERAGE('Raw Data'!C$2:'Raw Data'!C$352))</f>
        <v>65.181727401624585</v>
      </c>
      <c r="D263" s="52">
        <f ca="1">'Raw Data'!D263*($K$2/_xlfn.STDEV.P('Raw Data'!D$2:'Raw Data'!D$352)) + ($J$2-($K$2/_xlfn.STDEV.P('Raw Data'!D$2:'Raw Data'!D$352))*AVERAGE('Raw Data'!D$2:'Raw Data'!D$352))</f>
        <v>64.569999999999993</v>
      </c>
      <c r="E263" s="52" t="str">
        <f ca="1">IFERROR($J$4+('Raw Data'!H263-MIN('Raw Data'!H$2:'Raw Data'!H$352))*($J$3-$J$4)/(MAX('Raw Data'!H$2:'Raw Data'!H$352)-MIN('Raw Data'!H$2:'Raw Data'!H$352)),"")</f>
        <v/>
      </c>
      <c r="F263" s="52" t="str">
        <f ca="1">IFERROR($J$4+('Raw Data'!I263-MIN('Raw Data'!I$2:'Raw Data'!I$352))*($J$3-$J$4)/(MAX('Raw Data'!I$2:'Raw Data'!I$352)-MIN('Raw Data'!I$2:'Raw Data'!I$352)),"")</f>
        <v/>
      </c>
      <c r="G263" s="52">
        <f ca="1">IF(Bracket!$I$1="Composite",AVERAGE(B263:F263),IF(Bracket!$I$1="Kenpom",B263,IF(Bracket!$I$1="PVA",C263,IF(Bracket!$I$1="Sagarin Predictor",D263,IF(Bracket!$I$1="No Preseason",AVERAGE(B263:D263),"")))))</f>
        <v>64.525204913629111</v>
      </c>
      <c r="H263" s="63">
        <f t="shared" ca="1" si="4"/>
        <v>265</v>
      </c>
      <c r="I263" s="52"/>
      <c r="J263" s="52"/>
      <c r="K263" s="52"/>
    </row>
    <row r="264" spans="1:11" x14ac:dyDescent="0.3">
      <c r="A264" s="52" t="str">
        <f>'Raw Data'!A264</f>
        <v>UMKC</v>
      </c>
      <c r="B264" s="52">
        <f ca="1">'Raw Data'!B264*($K$2/_xlfn.STDEV.P('Raw Data'!B$2:'Raw Data'!B$352)) + ($J$2-($K$2/_xlfn.STDEV.P('Raw Data'!B$2:'Raw Data'!B$352))*AVERAGE('Raw Data'!B$2:'Raw Data'!B$352))</f>
        <v>64.480168673038889</v>
      </c>
      <c r="C264" s="52">
        <f ca="1">'Raw Data'!C264*($K$2/_xlfn.STDEV.P('Raw Data'!C$2:'Raw Data'!C$352)) + ($J$2-($K$2/_xlfn.STDEV.P('Raw Data'!C$2:'Raw Data'!C$352))*AVERAGE('Raw Data'!C$2:'Raw Data'!C$352))</f>
        <v>64.66475783256962</v>
      </c>
      <c r="D264" s="52">
        <f ca="1">'Raw Data'!D264*($K$2/_xlfn.STDEV.P('Raw Data'!D$2:'Raw Data'!D$352)) + ($J$2-($K$2/_xlfn.STDEV.P('Raw Data'!D$2:'Raw Data'!D$352))*AVERAGE('Raw Data'!D$2:'Raw Data'!D$352))</f>
        <v>66.5</v>
      </c>
      <c r="E264" s="52" t="str">
        <f ca="1">IFERROR($J$4+('Raw Data'!H264-MIN('Raw Data'!H$2:'Raw Data'!H$352))*($J$3-$J$4)/(MAX('Raw Data'!H$2:'Raw Data'!H$352)-MIN('Raw Data'!H$2:'Raw Data'!H$352)),"")</f>
        <v/>
      </c>
      <c r="F264" s="52" t="str">
        <f ca="1">IFERROR($J$4+('Raw Data'!I264-MIN('Raw Data'!I$2:'Raw Data'!I$352))*($J$3-$J$4)/(MAX('Raw Data'!I$2:'Raw Data'!I$352)-MIN('Raw Data'!I$2:'Raw Data'!I$352)),"")</f>
        <v/>
      </c>
      <c r="G264" s="52">
        <f ca="1">IF(Bracket!$I$1="Composite",AVERAGE(B264:F264),IF(Bracket!$I$1="Kenpom",B264,IF(Bracket!$I$1="PVA",C264,IF(Bracket!$I$1="Sagarin Predictor",D264,IF(Bracket!$I$1="No Preseason",AVERAGE(B264:D264),"")))))</f>
        <v>65.214975501869503</v>
      </c>
      <c r="H264" s="63">
        <f t="shared" ca="1" si="4"/>
        <v>256</v>
      </c>
      <c r="I264" s="52"/>
      <c r="J264" s="52"/>
      <c r="K264" s="52"/>
    </row>
    <row r="265" spans="1:11" x14ac:dyDescent="0.3">
      <c r="A265" s="52" t="str">
        <f>'Raw Data'!A265</f>
        <v>St Francis (NY)</v>
      </c>
      <c r="B265" s="52">
        <f ca="1">'Raw Data'!B265*($K$2/_xlfn.STDEV.P('Raw Data'!B$2:'Raw Data'!B$352)) + ($J$2-($K$2/_xlfn.STDEV.P('Raw Data'!B$2:'Raw Data'!B$352))*AVERAGE('Raw Data'!B$2:'Raw Data'!B$352))</f>
        <v>63.039367124173971</v>
      </c>
      <c r="C265" s="52">
        <f ca="1">'Raw Data'!C265*($K$2/_xlfn.STDEV.P('Raw Data'!C$2:'Raw Data'!C$352)) + ($J$2-($K$2/_xlfn.STDEV.P('Raw Data'!C$2:'Raw Data'!C$352))*AVERAGE('Raw Data'!C$2:'Raw Data'!C$352))</f>
        <v>63.501576302195971</v>
      </c>
      <c r="D265" s="52">
        <f ca="1">'Raw Data'!D265*($K$2/_xlfn.STDEV.P('Raw Data'!D$2:'Raw Data'!D$352)) + ($J$2-($K$2/_xlfn.STDEV.P('Raw Data'!D$2:'Raw Data'!D$352))*AVERAGE('Raw Data'!D$2:'Raw Data'!D$352))</f>
        <v>63.24</v>
      </c>
      <c r="E265" s="52" t="str">
        <f ca="1">IFERROR($J$4+('Raw Data'!H265-MIN('Raw Data'!H$2:'Raw Data'!H$352))*($J$3-$J$4)/(MAX('Raw Data'!H$2:'Raw Data'!H$352)-MIN('Raw Data'!H$2:'Raw Data'!H$352)),"")</f>
        <v/>
      </c>
      <c r="F265" s="52" t="str">
        <f ca="1">IFERROR($J$4+('Raw Data'!I265-MIN('Raw Data'!I$2:'Raw Data'!I$352))*($J$3-$J$4)/(MAX('Raw Data'!I$2:'Raw Data'!I$352)-MIN('Raw Data'!I$2:'Raw Data'!I$352)),"")</f>
        <v/>
      </c>
      <c r="G265" s="52">
        <f ca="1">IF(Bracket!$I$1="Composite",AVERAGE(B265:F265),IF(Bracket!$I$1="Kenpom",B265,IF(Bracket!$I$1="PVA",C265,IF(Bracket!$I$1="Sagarin Predictor",D265,IF(Bracket!$I$1="No Preseason",AVERAGE(B265:D265),"")))))</f>
        <v>63.260314475456653</v>
      </c>
      <c r="H265" s="63">
        <f t="shared" ca="1" si="4"/>
        <v>283</v>
      </c>
      <c r="I265" s="52"/>
      <c r="J265" s="52"/>
      <c r="K265" s="52"/>
    </row>
    <row r="266" spans="1:11" x14ac:dyDescent="0.3">
      <c r="A266" s="52" t="str">
        <f>'Raw Data'!A266</f>
        <v>Jacksonville</v>
      </c>
      <c r="B266" s="52">
        <f ca="1">'Raw Data'!B266*($K$2/_xlfn.STDEV.P('Raw Data'!B$2:'Raw Data'!B$352)) + ($J$2-($K$2/_xlfn.STDEV.P('Raw Data'!B$2:'Raw Data'!B$352))*AVERAGE('Raw Data'!B$2:'Raw Data'!B$352))</f>
        <v>63.52592052680113</v>
      </c>
      <c r="C266" s="52">
        <f ca="1">'Raw Data'!C266*($K$2/_xlfn.STDEV.P('Raw Data'!C$2:'Raw Data'!C$352)) + ($J$2-($K$2/_xlfn.STDEV.P('Raw Data'!C$2:'Raw Data'!C$352))*AVERAGE('Raw Data'!C$2:'Raw Data'!C$352))</f>
        <v>64.018545871250922</v>
      </c>
      <c r="D266" s="52">
        <f ca="1">'Raw Data'!D266*($K$2/_xlfn.STDEV.P('Raw Data'!D$2:'Raw Data'!D$352)) + ($J$2-($K$2/_xlfn.STDEV.P('Raw Data'!D$2:'Raw Data'!D$352))*AVERAGE('Raw Data'!D$2:'Raw Data'!D$352))</f>
        <v>63.77</v>
      </c>
      <c r="E266" s="52" t="str">
        <f ca="1">IFERROR($J$4+('Raw Data'!H266-MIN('Raw Data'!H$2:'Raw Data'!H$352))*($J$3-$J$4)/(MAX('Raw Data'!H$2:'Raw Data'!H$352)-MIN('Raw Data'!H$2:'Raw Data'!H$352)),"")</f>
        <v/>
      </c>
      <c r="F266" s="52" t="str">
        <f ca="1">IFERROR($J$4+('Raw Data'!I266-MIN('Raw Data'!I$2:'Raw Data'!I$352))*($J$3-$J$4)/(MAX('Raw Data'!I$2:'Raw Data'!I$352)-MIN('Raw Data'!I$2:'Raw Data'!I$352)),"")</f>
        <v/>
      </c>
      <c r="G266" s="52">
        <f ca="1">IF(Bracket!$I$1="Composite",AVERAGE(B266:F266),IF(Bracket!$I$1="Kenpom",B266,IF(Bracket!$I$1="PVA",C266,IF(Bracket!$I$1="Sagarin Predictor",D266,IF(Bracket!$I$1="No Preseason",AVERAGE(B266:D266),"")))))</f>
        <v>63.771488799350685</v>
      </c>
      <c r="H266" s="63">
        <f t="shared" ca="1" si="4"/>
        <v>272</v>
      </c>
      <c r="I266" s="52"/>
      <c r="J266" s="52"/>
      <c r="K266" s="52"/>
    </row>
    <row r="267" spans="1:11" x14ac:dyDescent="0.3">
      <c r="A267" s="52" t="str">
        <f>'Raw Data'!A267</f>
        <v>Cornell</v>
      </c>
      <c r="B267" s="52">
        <f ca="1">'Raw Data'!B267*($K$2/_xlfn.STDEV.P('Raw Data'!B$2:'Raw Data'!B$352)) + ($J$2-($K$2/_xlfn.STDEV.P('Raw Data'!B$2:'Raw Data'!B$352))*AVERAGE('Raw Data'!B$2:'Raw Data'!B$352))</f>
        <v>63.099714833026958</v>
      </c>
      <c r="C267" s="52">
        <f ca="1">'Raw Data'!C267*($K$2/_xlfn.STDEV.P('Raw Data'!C$2:'Raw Data'!C$352)) + ($J$2-($K$2/_xlfn.STDEV.P('Raw Data'!C$2:'Raw Data'!C$352))*AVERAGE('Raw Data'!C$2:'Raw Data'!C$352))</f>
        <v>63.630818694459705</v>
      </c>
      <c r="D267" s="52">
        <f ca="1">'Raw Data'!D267*($K$2/_xlfn.STDEV.P('Raw Data'!D$2:'Raw Data'!D$352)) + ($J$2-($K$2/_xlfn.STDEV.P('Raw Data'!D$2:'Raw Data'!D$352))*AVERAGE('Raw Data'!D$2:'Raw Data'!D$352))</f>
        <v>63.77</v>
      </c>
      <c r="E267" s="52" t="str">
        <f ca="1">IFERROR($J$4+('Raw Data'!H267-MIN('Raw Data'!H$2:'Raw Data'!H$352))*($J$3-$J$4)/(MAX('Raw Data'!H$2:'Raw Data'!H$352)-MIN('Raw Data'!H$2:'Raw Data'!H$352)),"")</f>
        <v/>
      </c>
      <c r="F267" s="52" t="str">
        <f ca="1">IFERROR($J$4+('Raw Data'!I267-MIN('Raw Data'!I$2:'Raw Data'!I$352))*($J$3-$J$4)/(MAX('Raw Data'!I$2:'Raw Data'!I$352)-MIN('Raw Data'!I$2:'Raw Data'!I$352)),"")</f>
        <v/>
      </c>
      <c r="G267" s="52">
        <f ca="1">IF(Bracket!$I$1="Composite",AVERAGE(B267:F267),IF(Bracket!$I$1="Kenpom",B267,IF(Bracket!$I$1="PVA",C267,IF(Bracket!$I$1="Sagarin Predictor",D267,IF(Bracket!$I$1="No Preseason",AVERAGE(B267:D267),"")))))</f>
        <v>63.50017784249556</v>
      </c>
      <c r="H267" s="63">
        <f t="shared" ca="1" si="4"/>
        <v>278</v>
      </c>
      <c r="I267" s="52"/>
      <c r="J267" s="52"/>
      <c r="K267" s="52"/>
    </row>
    <row r="268" spans="1:11" x14ac:dyDescent="0.3">
      <c r="A268" s="52" t="str">
        <f>'Raw Data'!A268</f>
        <v>Idaho State</v>
      </c>
      <c r="B268" s="52">
        <f ca="1">'Raw Data'!B268*($K$2/_xlfn.STDEV.P('Raw Data'!B$2:'Raw Data'!B$352)) + ($J$2-($K$2/_xlfn.STDEV.P('Raw Data'!B$2:'Raw Data'!B$352))*AVERAGE('Raw Data'!B$2:'Raw Data'!B$352))</f>
        <v>63.156290810076626</v>
      </c>
      <c r="C268" s="52">
        <f ca="1">'Raw Data'!C268*($K$2/_xlfn.STDEV.P('Raw Data'!C$2:'Raw Data'!C$352)) + ($J$2-($K$2/_xlfn.STDEV.P('Raw Data'!C$2:'Raw Data'!C$352))*AVERAGE('Raw Data'!C$2:'Raw Data'!C$352))</f>
        <v>63.630818694459705</v>
      </c>
      <c r="D268" s="52">
        <f ca="1">'Raw Data'!D268*($K$2/_xlfn.STDEV.P('Raw Data'!D$2:'Raw Data'!D$352)) + ($J$2-($K$2/_xlfn.STDEV.P('Raw Data'!D$2:'Raw Data'!D$352))*AVERAGE('Raw Data'!D$2:'Raw Data'!D$352))</f>
        <v>63.75</v>
      </c>
      <c r="E268" s="52" t="str">
        <f ca="1">IFERROR($J$4+('Raw Data'!H268-MIN('Raw Data'!H$2:'Raw Data'!H$352))*($J$3-$J$4)/(MAX('Raw Data'!H$2:'Raw Data'!H$352)-MIN('Raw Data'!H$2:'Raw Data'!H$352)),"")</f>
        <v/>
      </c>
      <c r="F268" s="52" t="str">
        <f ca="1">IFERROR($J$4+('Raw Data'!I268-MIN('Raw Data'!I$2:'Raw Data'!I$352))*($J$3-$J$4)/(MAX('Raw Data'!I$2:'Raw Data'!I$352)-MIN('Raw Data'!I$2:'Raw Data'!I$352)),"")</f>
        <v/>
      </c>
      <c r="G268" s="52">
        <f ca="1">IF(Bracket!$I$1="Composite",AVERAGE(B268:F268),IF(Bracket!$I$1="Kenpom",B268,IF(Bracket!$I$1="PVA",C268,IF(Bracket!$I$1="Sagarin Predictor",D268,IF(Bracket!$I$1="No Preseason",AVERAGE(B268:D268),"")))))</f>
        <v>63.512369834845437</v>
      </c>
      <c r="H268" s="63">
        <f t="shared" ca="1" si="4"/>
        <v>277</v>
      </c>
      <c r="I268" s="52"/>
      <c r="J268" s="52"/>
      <c r="K268" s="52"/>
    </row>
    <row r="269" spans="1:11" x14ac:dyDescent="0.3">
      <c r="A269" s="52" t="str">
        <f>'Raw Data'!A269</f>
        <v>San Jose State</v>
      </c>
      <c r="B269" s="52">
        <f ca="1">'Raw Data'!B269*($K$2/_xlfn.STDEV.P('Raw Data'!B$2:'Raw Data'!B$352)) + ($J$2-($K$2/_xlfn.STDEV.P('Raw Data'!B$2:'Raw Data'!B$352))*AVERAGE('Raw Data'!B$2:'Raw Data'!B$352))</f>
        <v>64.393418841562735</v>
      </c>
      <c r="C269" s="52">
        <f ca="1">'Raw Data'!C269*($K$2/_xlfn.STDEV.P('Raw Data'!C$2:'Raw Data'!C$352)) + ($J$2-($K$2/_xlfn.STDEV.P('Raw Data'!C$2:'Raw Data'!C$352))*AVERAGE('Raw Data'!C$2:'Raw Data'!C$352))</f>
        <v>65.052485009360851</v>
      </c>
      <c r="D269" s="52">
        <f ca="1">'Raw Data'!D269*($K$2/_xlfn.STDEV.P('Raw Data'!D$2:'Raw Data'!D$352)) + ($J$2-($K$2/_xlfn.STDEV.P('Raw Data'!D$2:'Raw Data'!D$352))*AVERAGE('Raw Data'!D$2:'Raw Data'!D$352))</f>
        <v>65.930000000000007</v>
      </c>
      <c r="E269" s="52" t="str">
        <f ca="1">IFERROR($J$4+('Raw Data'!H269-MIN('Raw Data'!H$2:'Raw Data'!H$352))*($J$3-$J$4)/(MAX('Raw Data'!H$2:'Raw Data'!H$352)-MIN('Raw Data'!H$2:'Raw Data'!H$352)),"")</f>
        <v/>
      </c>
      <c r="F269" s="52" t="str">
        <f ca="1">IFERROR($J$4+('Raw Data'!I269-MIN('Raw Data'!I$2:'Raw Data'!I$352))*($J$3-$J$4)/(MAX('Raw Data'!I$2:'Raw Data'!I$352)-MIN('Raw Data'!I$2:'Raw Data'!I$352)),"")</f>
        <v/>
      </c>
      <c r="G269" s="52">
        <f ca="1">IF(Bracket!$I$1="Composite",AVERAGE(B269:F269),IF(Bracket!$I$1="Kenpom",B269,IF(Bracket!$I$1="PVA",C269,IF(Bracket!$I$1="Sagarin Predictor",D269,IF(Bracket!$I$1="No Preseason",AVERAGE(B269:D269),"")))))</f>
        <v>65.125301283641193</v>
      </c>
      <c r="H269" s="63">
        <f t="shared" ca="1" si="4"/>
        <v>258</v>
      </c>
      <c r="I269" s="52"/>
      <c r="J269" s="52"/>
      <c r="K269" s="52"/>
    </row>
    <row r="270" spans="1:11" x14ac:dyDescent="0.3">
      <c r="A270" s="52" t="str">
        <f>'Raw Data'!A270</f>
        <v>Appalachian St</v>
      </c>
      <c r="B270" s="52">
        <f ca="1">'Raw Data'!B270*($K$2/_xlfn.STDEV.P('Raw Data'!B$2:'Raw Data'!B$352)) + ($J$2-($K$2/_xlfn.STDEV.P('Raw Data'!B$2:'Raw Data'!B$352))*AVERAGE('Raw Data'!B$2:'Raw Data'!B$352))</f>
        <v>65.325036596980624</v>
      </c>
      <c r="C270" s="52">
        <f ca="1">'Raw Data'!C270*($K$2/_xlfn.STDEV.P('Raw Data'!C$2:'Raw Data'!C$352)) + ($J$2-($K$2/_xlfn.STDEV.P('Raw Data'!C$2:'Raw Data'!C$352))*AVERAGE('Raw Data'!C$2:'Raw Data'!C$352))</f>
        <v>65.181727401624585</v>
      </c>
      <c r="D270" s="52">
        <f ca="1">'Raw Data'!D270*($K$2/_xlfn.STDEV.P('Raw Data'!D$2:'Raw Data'!D$352)) + ($J$2-($K$2/_xlfn.STDEV.P('Raw Data'!D$2:'Raw Data'!D$352))*AVERAGE('Raw Data'!D$2:'Raw Data'!D$352))</f>
        <v>64.989999999999995</v>
      </c>
      <c r="E270" s="52" t="str">
        <f ca="1">IFERROR($J$4+('Raw Data'!H270-MIN('Raw Data'!H$2:'Raw Data'!H$352))*($J$3-$J$4)/(MAX('Raw Data'!H$2:'Raw Data'!H$352)-MIN('Raw Data'!H$2:'Raw Data'!H$352)),"")</f>
        <v/>
      </c>
      <c r="F270" s="52" t="str">
        <f ca="1">IFERROR($J$4+('Raw Data'!I270-MIN('Raw Data'!I$2:'Raw Data'!I$352))*($J$3-$J$4)/(MAX('Raw Data'!I$2:'Raw Data'!I$352)-MIN('Raw Data'!I$2:'Raw Data'!I$352)),"")</f>
        <v/>
      </c>
      <c r="G270" s="52">
        <f ca="1">IF(Bracket!$I$1="Composite",AVERAGE(B270:F270),IF(Bracket!$I$1="Kenpom",B270,IF(Bracket!$I$1="PVA",C270,IF(Bracket!$I$1="Sagarin Predictor",D270,IF(Bracket!$I$1="No Preseason",AVERAGE(B270:D270),"")))))</f>
        <v>65.165587999535077</v>
      </c>
      <c r="H270" s="63">
        <f t="shared" ca="1" si="4"/>
        <v>257</v>
      </c>
      <c r="I270" s="52"/>
      <c r="J270" s="52"/>
      <c r="K270" s="52"/>
    </row>
    <row r="271" spans="1:11" x14ac:dyDescent="0.3">
      <c r="A271" s="52" t="str">
        <f>'Raw Data'!A271</f>
        <v>Youngstown St</v>
      </c>
      <c r="B271" s="52">
        <f ca="1">'Raw Data'!B271*($K$2/_xlfn.STDEV.P('Raw Data'!B$2:'Raw Data'!B$352)) + ($J$2-($K$2/_xlfn.STDEV.P('Raw Data'!B$2:'Raw Data'!B$352))*AVERAGE('Raw Data'!B$2:'Raw Data'!B$352))</f>
        <v>63.156290810076626</v>
      </c>
      <c r="C271" s="52">
        <f ca="1">'Raw Data'!C271*($K$2/_xlfn.STDEV.P('Raw Data'!C$2:'Raw Data'!C$352)) + ($J$2-($K$2/_xlfn.STDEV.P('Raw Data'!C$2:'Raw Data'!C$352))*AVERAGE('Raw Data'!C$2:'Raw Data'!C$352))</f>
        <v>64.277030655778404</v>
      </c>
      <c r="D271" s="52">
        <f ca="1">'Raw Data'!D271*($K$2/_xlfn.STDEV.P('Raw Data'!D$2:'Raw Data'!D$352)) + ($J$2-($K$2/_xlfn.STDEV.P('Raw Data'!D$2:'Raw Data'!D$352))*AVERAGE('Raw Data'!D$2:'Raw Data'!D$352))</f>
        <v>62.52</v>
      </c>
      <c r="E271" s="52" t="str">
        <f ca="1">IFERROR($J$4+('Raw Data'!H271-MIN('Raw Data'!H$2:'Raw Data'!H$352))*($J$3-$J$4)/(MAX('Raw Data'!H$2:'Raw Data'!H$352)-MIN('Raw Data'!H$2:'Raw Data'!H$352)),"")</f>
        <v/>
      </c>
      <c r="F271" s="52" t="str">
        <f ca="1">IFERROR($J$4+('Raw Data'!I271-MIN('Raw Data'!I$2:'Raw Data'!I$352))*($J$3-$J$4)/(MAX('Raw Data'!I$2:'Raw Data'!I$352)-MIN('Raw Data'!I$2:'Raw Data'!I$352)),"")</f>
        <v/>
      </c>
      <c r="G271" s="52">
        <f ca="1">IF(Bracket!$I$1="Composite",AVERAGE(B271:F271),IF(Bracket!$I$1="Kenpom",B271,IF(Bracket!$I$1="PVA",C271,IF(Bracket!$I$1="Sagarin Predictor",D271,IF(Bracket!$I$1="No Preseason",AVERAGE(B271:D271),"")))))</f>
        <v>63.317773821951675</v>
      </c>
      <c r="H271" s="63">
        <f t="shared" ca="1" si="4"/>
        <v>281</v>
      </c>
      <c r="I271" s="52"/>
      <c r="J271" s="52"/>
      <c r="K271" s="52"/>
    </row>
    <row r="272" spans="1:11" x14ac:dyDescent="0.3">
      <c r="A272" s="52" t="str">
        <f>'Raw Data'!A272</f>
        <v>CS Fullerton</v>
      </c>
      <c r="B272" s="52">
        <f ca="1">'Raw Data'!B272*($K$2/_xlfn.STDEV.P('Raw Data'!B$2:'Raw Data'!B$352)) + ($J$2-($K$2/_xlfn.STDEV.P('Raw Data'!B$2:'Raw Data'!B$352))*AVERAGE('Raw Data'!B$2:'Raw Data'!B$352))</f>
        <v>63.397681645488547</v>
      </c>
      <c r="C272" s="52">
        <f ca="1">'Raw Data'!C272*($K$2/_xlfn.STDEV.P('Raw Data'!C$2:'Raw Data'!C$352)) + ($J$2-($K$2/_xlfn.STDEV.P('Raw Data'!C$2:'Raw Data'!C$352))*AVERAGE('Raw Data'!C$2:'Raw Data'!C$352))</f>
        <v>64.277030655778404</v>
      </c>
      <c r="D272" s="52">
        <f ca="1">'Raw Data'!D272*($K$2/_xlfn.STDEV.P('Raw Data'!D$2:'Raw Data'!D$352)) + ($J$2-($K$2/_xlfn.STDEV.P('Raw Data'!D$2:'Raw Data'!D$352))*AVERAGE('Raw Data'!D$2:'Raw Data'!D$352))</f>
        <v>65.77</v>
      </c>
      <c r="E272" s="52" t="str">
        <f ca="1">IFERROR($J$4+('Raw Data'!H272-MIN('Raw Data'!H$2:'Raw Data'!H$352))*($J$3-$J$4)/(MAX('Raw Data'!H$2:'Raw Data'!H$352)-MIN('Raw Data'!H$2:'Raw Data'!H$352)),"")</f>
        <v/>
      </c>
      <c r="F272" s="52" t="str">
        <f ca="1">IFERROR($J$4+('Raw Data'!I272-MIN('Raw Data'!I$2:'Raw Data'!I$352))*($J$3-$J$4)/(MAX('Raw Data'!I$2:'Raw Data'!I$352)-MIN('Raw Data'!I$2:'Raw Data'!I$352)),"")</f>
        <v/>
      </c>
      <c r="G272" s="52">
        <f ca="1">IF(Bracket!$I$1="Composite",AVERAGE(B272:F272),IF(Bracket!$I$1="Kenpom",B272,IF(Bracket!$I$1="PVA",C272,IF(Bracket!$I$1="Sagarin Predictor",D272,IF(Bracket!$I$1="No Preseason",AVERAGE(B272:D272),"")))))</f>
        <v>64.481570767088982</v>
      </c>
      <c r="H272" s="63">
        <f t="shared" ca="1" si="4"/>
        <v>266</v>
      </c>
      <c r="I272" s="52"/>
      <c r="J272" s="52"/>
      <c r="K272" s="52"/>
    </row>
    <row r="273" spans="1:11" x14ac:dyDescent="0.3">
      <c r="A273" s="52" t="str">
        <f>'Raw Data'!A273</f>
        <v>Lipscomb</v>
      </c>
      <c r="B273" s="52">
        <f ca="1">'Raw Data'!B273*($K$2/_xlfn.STDEV.P('Raw Data'!B$2:'Raw Data'!B$352)) + ($J$2-($K$2/_xlfn.STDEV.P('Raw Data'!B$2:'Raw Data'!B$352))*AVERAGE('Raw Data'!B$2:'Raw Data'!B$352))</f>
        <v>62.741400311712383</v>
      </c>
      <c r="C273" s="52">
        <f ca="1">'Raw Data'!C273*($K$2/_xlfn.STDEV.P('Raw Data'!C$2:'Raw Data'!C$352)) + ($J$2-($K$2/_xlfn.STDEV.P('Raw Data'!C$2:'Raw Data'!C$352))*AVERAGE('Raw Data'!C$2:'Raw Data'!C$352))</f>
        <v>64.14778826351467</v>
      </c>
      <c r="D273" s="52">
        <f ca="1">'Raw Data'!D273*($K$2/_xlfn.STDEV.P('Raw Data'!D$2:'Raw Data'!D$352)) + ($J$2-($K$2/_xlfn.STDEV.P('Raw Data'!D$2:'Raw Data'!D$352))*AVERAGE('Raw Data'!D$2:'Raw Data'!D$352))</f>
        <v>64.069999999999993</v>
      </c>
      <c r="E273" s="52" t="str">
        <f ca="1">IFERROR($J$4+('Raw Data'!H273-MIN('Raw Data'!H$2:'Raw Data'!H$352))*($J$3-$J$4)/(MAX('Raw Data'!H$2:'Raw Data'!H$352)-MIN('Raw Data'!H$2:'Raw Data'!H$352)),"")</f>
        <v/>
      </c>
      <c r="F273" s="52" t="str">
        <f ca="1">IFERROR($J$4+('Raw Data'!I273-MIN('Raw Data'!I$2:'Raw Data'!I$352))*($J$3-$J$4)/(MAX('Raw Data'!I$2:'Raw Data'!I$352)-MIN('Raw Data'!I$2:'Raw Data'!I$352)),"")</f>
        <v/>
      </c>
      <c r="G273" s="52">
        <f ca="1">IF(Bracket!$I$1="Composite",AVERAGE(B273:F273),IF(Bracket!$I$1="Kenpom",B273,IF(Bracket!$I$1="PVA",C273,IF(Bracket!$I$1="Sagarin Predictor",D273,IF(Bracket!$I$1="No Preseason",AVERAGE(B273:D273),"")))))</f>
        <v>63.653062858409015</v>
      </c>
      <c r="H273" s="63">
        <f t="shared" ca="1" si="4"/>
        <v>274</v>
      </c>
      <c r="I273" s="52"/>
      <c r="J273" s="52"/>
      <c r="K273" s="52"/>
    </row>
    <row r="274" spans="1:11" x14ac:dyDescent="0.3">
      <c r="A274" s="52" t="str">
        <f>'Raw Data'!A274</f>
        <v>Fairleigh Dickinson</v>
      </c>
      <c r="B274" s="52">
        <f ca="1">'Raw Data'!B274*($K$2/_xlfn.STDEV.P('Raw Data'!B$2:'Raw Data'!B$352)) + ($J$2-($K$2/_xlfn.STDEV.P('Raw Data'!B$2:'Raw Data'!B$352))*AVERAGE('Raw Data'!B$2:'Raw Data'!B$352))</f>
        <v>63.612670358277292</v>
      </c>
      <c r="C274" s="52">
        <f ca="1">'Raw Data'!C274*($K$2/_xlfn.STDEV.P('Raw Data'!C$2:'Raw Data'!C$352)) + ($J$2-($K$2/_xlfn.STDEV.P('Raw Data'!C$2:'Raw Data'!C$352))*AVERAGE('Raw Data'!C$2:'Raw Data'!C$352))</f>
        <v>65.181727401624585</v>
      </c>
      <c r="D274" s="52">
        <f ca="1">'Raw Data'!D274*($K$2/_xlfn.STDEV.P('Raw Data'!D$2:'Raw Data'!D$352)) + ($J$2-($K$2/_xlfn.STDEV.P('Raw Data'!D$2:'Raw Data'!D$352))*AVERAGE('Raw Data'!D$2:'Raw Data'!D$352))</f>
        <v>63.28</v>
      </c>
      <c r="E274" s="52" t="str">
        <f ca="1">IFERROR($J$4+('Raw Data'!H274-MIN('Raw Data'!H$2:'Raw Data'!H$352))*($J$3-$J$4)/(MAX('Raw Data'!H$2:'Raw Data'!H$352)-MIN('Raw Data'!H$2:'Raw Data'!H$352)),"")</f>
        <v/>
      </c>
      <c r="F274" s="52" t="str">
        <f ca="1">IFERROR($J$4+('Raw Data'!I274-MIN('Raw Data'!I$2:'Raw Data'!I$352))*($J$3-$J$4)/(MAX('Raw Data'!I$2:'Raw Data'!I$352)-MIN('Raw Data'!I$2:'Raw Data'!I$352)),"")</f>
        <v/>
      </c>
      <c r="G274" s="52">
        <f ca="1">IF(Bracket!$I$1="Composite",AVERAGE(B274:F274),IF(Bracket!$I$1="Kenpom",B274,IF(Bracket!$I$1="PVA",C274,IF(Bracket!$I$1="Sagarin Predictor",D274,IF(Bracket!$I$1="No Preseason",AVERAGE(B274:D274),"")))))</f>
        <v>64.024799253300628</v>
      </c>
      <c r="H274" s="63">
        <f t="shared" ca="1" si="4"/>
        <v>269</v>
      </c>
      <c r="I274" s="52"/>
      <c r="J274" s="52"/>
      <c r="K274" s="52"/>
    </row>
    <row r="275" spans="1:11" x14ac:dyDescent="0.3">
      <c r="A275" s="52" t="str">
        <f>'Raw Data'!A275</f>
        <v>South Carolina St</v>
      </c>
      <c r="B275" s="52">
        <f ca="1">'Raw Data'!B275*($K$2/_xlfn.STDEV.P('Raw Data'!B$2:'Raw Data'!B$352)) + ($J$2-($K$2/_xlfn.STDEV.P('Raw Data'!B$2:'Raw Data'!B$352))*AVERAGE('Raw Data'!B$2:'Raw Data'!B$352))</f>
        <v>63.729594044179947</v>
      </c>
      <c r="C275" s="52">
        <f ca="1">'Raw Data'!C275*($K$2/_xlfn.STDEV.P('Raw Data'!C$2:'Raw Data'!C$352)) + ($J$2-($K$2/_xlfn.STDEV.P('Raw Data'!C$2:'Raw Data'!C$352))*AVERAGE('Raw Data'!C$2:'Raw Data'!C$352))</f>
        <v>64.535515440305886</v>
      </c>
      <c r="D275" s="52">
        <f ca="1">'Raw Data'!D275*($K$2/_xlfn.STDEV.P('Raw Data'!D$2:'Raw Data'!D$352)) + ($J$2-($K$2/_xlfn.STDEV.P('Raw Data'!D$2:'Raw Data'!D$352))*AVERAGE('Raw Data'!D$2:'Raw Data'!D$352))</f>
        <v>63.86</v>
      </c>
      <c r="E275" s="52" t="str">
        <f ca="1">IFERROR($J$4+('Raw Data'!H275-MIN('Raw Data'!H$2:'Raw Data'!H$352))*($J$3-$J$4)/(MAX('Raw Data'!H$2:'Raw Data'!H$352)-MIN('Raw Data'!H$2:'Raw Data'!H$352)),"")</f>
        <v/>
      </c>
      <c r="F275" s="52" t="str">
        <f ca="1">IFERROR($J$4+('Raw Data'!I275-MIN('Raw Data'!I$2:'Raw Data'!I$352))*($J$3-$J$4)/(MAX('Raw Data'!I$2:'Raw Data'!I$352)-MIN('Raw Data'!I$2:'Raw Data'!I$352)),"")</f>
        <v/>
      </c>
      <c r="G275" s="52">
        <f ca="1">IF(Bracket!$I$1="Composite",AVERAGE(B275:F275),IF(Bracket!$I$1="Kenpom",B275,IF(Bracket!$I$1="PVA",C275,IF(Bracket!$I$1="Sagarin Predictor",D275,IF(Bracket!$I$1="No Preseason",AVERAGE(B275:D275),"")))))</f>
        <v>64.041703161495278</v>
      </c>
      <c r="H275" s="63">
        <f t="shared" ca="1" si="4"/>
        <v>268</v>
      </c>
      <c r="I275" s="52"/>
      <c r="J275" s="52"/>
      <c r="K275" s="52"/>
    </row>
    <row r="276" spans="1:11" x14ac:dyDescent="0.3">
      <c r="A276" s="52" t="str">
        <f>'Raw Data'!A276</f>
        <v>Drake</v>
      </c>
      <c r="B276" s="52">
        <f ca="1">'Raw Data'!B276*($K$2/_xlfn.STDEV.P('Raw Data'!B$2:'Raw Data'!B$352)) + ($J$2-($K$2/_xlfn.STDEV.P('Raw Data'!B$2:'Raw Data'!B$352))*AVERAGE('Raw Data'!B$2:'Raw Data'!B$352))</f>
        <v>63.254355836962716</v>
      </c>
      <c r="C276" s="52">
        <f ca="1">'Raw Data'!C276*($K$2/_xlfn.STDEV.P('Raw Data'!C$2:'Raw Data'!C$352)) + ($J$2-($K$2/_xlfn.STDEV.P('Raw Data'!C$2:'Raw Data'!C$352))*AVERAGE('Raw Data'!C$2:'Raw Data'!C$352))</f>
        <v>64.14778826351467</v>
      </c>
      <c r="D276" s="52">
        <f ca="1">'Raw Data'!D276*($K$2/_xlfn.STDEV.P('Raw Data'!D$2:'Raw Data'!D$352)) + ($J$2-($K$2/_xlfn.STDEV.P('Raw Data'!D$2:'Raw Data'!D$352))*AVERAGE('Raw Data'!D$2:'Raw Data'!D$352))</f>
        <v>66.430000000000007</v>
      </c>
      <c r="E276" s="52" t="str">
        <f ca="1">IFERROR($J$4+('Raw Data'!H276-MIN('Raw Data'!H$2:'Raw Data'!H$352))*($J$3-$J$4)/(MAX('Raw Data'!H$2:'Raw Data'!H$352)-MIN('Raw Data'!H$2:'Raw Data'!H$352)),"")</f>
        <v/>
      </c>
      <c r="F276" s="52" t="str">
        <f ca="1">IFERROR($J$4+('Raw Data'!I276-MIN('Raw Data'!I$2:'Raw Data'!I$352))*($J$3-$J$4)/(MAX('Raw Data'!I$2:'Raw Data'!I$352)-MIN('Raw Data'!I$2:'Raw Data'!I$352)),"")</f>
        <v/>
      </c>
      <c r="G276" s="52">
        <f ca="1">IF(Bracket!$I$1="Composite",AVERAGE(B276:F276),IF(Bracket!$I$1="Kenpom",B276,IF(Bracket!$I$1="PVA",C276,IF(Bracket!$I$1="Sagarin Predictor",D276,IF(Bracket!$I$1="No Preseason",AVERAGE(B276:D276),"")))))</f>
        <v>64.610714700159136</v>
      </c>
      <c r="H276" s="63">
        <f t="shared" ca="1" si="4"/>
        <v>264</v>
      </c>
      <c r="I276" s="52"/>
      <c r="J276" s="52"/>
      <c r="K276" s="52"/>
    </row>
    <row r="277" spans="1:11" x14ac:dyDescent="0.3">
      <c r="A277" s="52" t="str">
        <f>'Raw Data'!A277</f>
        <v>San Diego</v>
      </c>
      <c r="B277" s="52">
        <f ca="1">'Raw Data'!B277*($K$2/_xlfn.STDEV.P('Raw Data'!B$2:'Raw Data'!B$352)) + ($J$2-($K$2/_xlfn.STDEV.P('Raw Data'!B$2:'Raw Data'!B$352))*AVERAGE('Raw Data'!B$2:'Raw Data'!B$352))</f>
        <v>63.269442764175963</v>
      </c>
      <c r="C277" s="52">
        <f ca="1">'Raw Data'!C277*($K$2/_xlfn.STDEV.P('Raw Data'!C$2:'Raw Data'!C$352)) + ($J$2-($K$2/_xlfn.STDEV.P('Raw Data'!C$2:'Raw Data'!C$352))*AVERAGE('Raw Data'!C$2:'Raw Data'!C$352))</f>
        <v>64.277030655778404</v>
      </c>
      <c r="D277" s="52">
        <f ca="1">'Raw Data'!D277*($K$2/_xlfn.STDEV.P('Raw Data'!D$2:'Raw Data'!D$352)) + ($J$2-($K$2/_xlfn.STDEV.P('Raw Data'!D$2:'Raw Data'!D$352))*AVERAGE('Raw Data'!D$2:'Raw Data'!D$352))</f>
        <v>64.260000000000005</v>
      </c>
      <c r="E277" s="52" t="str">
        <f ca="1">IFERROR($J$4+('Raw Data'!H277-MIN('Raw Data'!H$2:'Raw Data'!H$352))*($J$3-$J$4)/(MAX('Raw Data'!H$2:'Raw Data'!H$352)-MIN('Raw Data'!H$2:'Raw Data'!H$352)),"")</f>
        <v/>
      </c>
      <c r="F277" s="52" t="str">
        <f ca="1">IFERROR($J$4+('Raw Data'!I277-MIN('Raw Data'!I$2:'Raw Data'!I$352))*($J$3-$J$4)/(MAX('Raw Data'!I$2:'Raw Data'!I$352)-MIN('Raw Data'!I$2:'Raw Data'!I$352)),"")</f>
        <v/>
      </c>
      <c r="G277" s="52">
        <f ca="1">IF(Bracket!$I$1="Composite",AVERAGE(B277:F277),IF(Bracket!$I$1="Kenpom",B277,IF(Bracket!$I$1="PVA",C277,IF(Bracket!$I$1="Sagarin Predictor",D277,IF(Bracket!$I$1="No Preseason",AVERAGE(B277:D277),"")))))</f>
        <v>63.935491139984798</v>
      </c>
      <c r="H277" s="63">
        <f t="shared" ca="1" si="4"/>
        <v>270</v>
      </c>
      <c r="I277" s="52"/>
      <c r="J277" s="52"/>
      <c r="K277" s="52"/>
    </row>
    <row r="278" spans="1:11" x14ac:dyDescent="0.3">
      <c r="A278" s="52" t="str">
        <f>'Raw Data'!A278</f>
        <v>Liberty</v>
      </c>
      <c r="B278" s="52">
        <f ca="1">'Raw Data'!B278*($K$2/_xlfn.STDEV.P('Raw Data'!B$2:'Raw Data'!B$352)) + ($J$2-($K$2/_xlfn.STDEV.P('Raw Data'!B$2:'Raw Data'!B$352))*AVERAGE('Raw Data'!B$2:'Raw Data'!B$352))</f>
        <v>62.088890709739523</v>
      </c>
      <c r="C278" s="52">
        <f ca="1">'Raw Data'!C278*($K$2/_xlfn.STDEV.P('Raw Data'!C$2:'Raw Data'!C$352)) + ($J$2-($K$2/_xlfn.STDEV.P('Raw Data'!C$2:'Raw Data'!C$352))*AVERAGE('Raw Data'!C$2:'Raw Data'!C$352))</f>
        <v>63.889303478987188</v>
      </c>
      <c r="D278" s="52">
        <f ca="1">'Raw Data'!D278*($K$2/_xlfn.STDEV.P('Raw Data'!D$2:'Raw Data'!D$352)) + ($J$2-($K$2/_xlfn.STDEV.P('Raw Data'!D$2:'Raw Data'!D$352))*AVERAGE('Raw Data'!D$2:'Raw Data'!D$352))</f>
        <v>62.15</v>
      </c>
      <c r="E278" s="52" t="str">
        <f ca="1">IFERROR($J$4+('Raw Data'!H278-MIN('Raw Data'!H$2:'Raw Data'!H$352))*($J$3-$J$4)/(MAX('Raw Data'!H$2:'Raw Data'!H$352)-MIN('Raw Data'!H$2:'Raw Data'!H$352)),"")</f>
        <v/>
      </c>
      <c r="F278" s="52" t="str">
        <f ca="1">IFERROR($J$4+('Raw Data'!I278-MIN('Raw Data'!I$2:'Raw Data'!I$352))*($J$3-$J$4)/(MAX('Raw Data'!I$2:'Raw Data'!I$352)-MIN('Raw Data'!I$2:'Raw Data'!I$352)),"")</f>
        <v/>
      </c>
      <c r="G278" s="52">
        <f ca="1">IF(Bracket!$I$1="Composite",AVERAGE(B278:F278),IF(Bracket!$I$1="Kenpom",B278,IF(Bracket!$I$1="PVA",C278,IF(Bracket!$I$1="Sagarin Predictor",D278,IF(Bracket!$I$1="No Preseason",AVERAGE(B278:D278),"")))))</f>
        <v>62.70939806290891</v>
      </c>
      <c r="H278" s="63">
        <f t="shared" ca="1" si="4"/>
        <v>287</v>
      </c>
      <c r="I278" s="52"/>
      <c r="J278" s="52"/>
      <c r="K278" s="52"/>
    </row>
    <row r="279" spans="1:11" x14ac:dyDescent="0.3">
      <c r="A279" s="52" t="str">
        <f>'Raw Data'!A279</f>
        <v>Troy</v>
      </c>
      <c r="B279" s="52">
        <f ca="1">'Raw Data'!B279*($K$2/_xlfn.STDEV.P('Raw Data'!B$2:'Raw Data'!B$352)) + ($J$2-($K$2/_xlfn.STDEV.P('Raw Data'!B$2:'Raw Data'!B$352))*AVERAGE('Raw Data'!B$2:'Raw Data'!B$352))</f>
        <v>62.609389698596488</v>
      </c>
      <c r="C279" s="52">
        <f ca="1">'Raw Data'!C279*($K$2/_xlfn.STDEV.P('Raw Data'!C$2:'Raw Data'!C$352)) + ($J$2-($K$2/_xlfn.STDEV.P('Raw Data'!C$2:'Raw Data'!C$352))*AVERAGE('Raw Data'!C$2:'Raw Data'!C$352))</f>
        <v>62.596879556349791</v>
      </c>
      <c r="D279" s="52">
        <f ca="1">'Raw Data'!D279*($K$2/_xlfn.STDEV.P('Raw Data'!D$2:'Raw Data'!D$352)) + ($J$2-($K$2/_xlfn.STDEV.P('Raw Data'!D$2:'Raw Data'!D$352))*AVERAGE('Raw Data'!D$2:'Raw Data'!D$352))</f>
        <v>63.62</v>
      </c>
      <c r="E279" s="52" t="str">
        <f ca="1">IFERROR($J$4+('Raw Data'!H279-MIN('Raw Data'!H$2:'Raw Data'!H$352))*($J$3-$J$4)/(MAX('Raw Data'!H$2:'Raw Data'!H$352)-MIN('Raw Data'!H$2:'Raw Data'!H$352)),"")</f>
        <v/>
      </c>
      <c r="F279" s="52" t="str">
        <f ca="1">IFERROR($J$4+('Raw Data'!I279-MIN('Raw Data'!I$2:'Raw Data'!I$352))*($J$3-$J$4)/(MAX('Raw Data'!I$2:'Raw Data'!I$352)-MIN('Raw Data'!I$2:'Raw Data'!I$352)),"")</f>
        <v/>
      </c>
      <c r="G279" s="52">
        <f ca="1">IF(Bracket!$I$1="Composite",AVERAGE(B279:F279),IF(Bracket!$I$1="Kenpom",B279,IF(Bracket!$I$1="PVA",C279,IF(Bracket!$I$1="Sagarin Predictor",D279,IF(Bracket!$I$1="No Preseason",AVERAGE(B279:D279),"")))))</f>
        <v>62.942089751648759</v>
      </c>
      <c r="H279" s="63">
        <f t="shared" ca="1" si="4"/>
        <v>286</v>
      </c>
      <c r="I279" s="52"/>
      <c r="J279" s="52"/>
      <c r="K279" s="52"/>
    </row>
    <row r="280" spans="1:11" x14ac:dyDescent="0.3">
      <c r="A280" s="52" t="str">
        <f>'Raw Data'!A280</f>
        <v>Delaware</v>
      </c>
      <c r="B280" s="52">
        <f ca="1">'Raw Data'!B280*($K$2/_xlfn.STDEV.P('Raw Data'!B$2:'Raw Data'!B$352)) + ($J$2-($K$2/_xlfn.STDEV.P('Raw Data'!B$2:'Raw Data'!B$352))*AVERAGE('Raw Data'!B$2:'Raw Data'!B$352))</f>
        <v>63.092171369420335</v>
      </c>
      <c r="C280" s="52">
        <f ca="1">'Raw Data'!C280*($K$2/_xlfn.STDEV.P('Raw Data'!C$2:'Raw Data'!C$352)) + ($J$2-($K$2/_xlfn.STDEV.P('Raw Data'!C$2:'Raw Data'!C$352))*AVERAGE('Raw Data'!C$2:'Raw Data'!C$352))</f>
        <v>63.37233390993223</v>
      </c>
      <c r="D280" s="52">
        <f ca="1">'Raw Data'!D280*($K$2/_xlfn.STDEV.P('Raw Data'!D$2:'Raw Data'!D$352)) + ($J$2-($K$2/_xlfn.STDEV.P('Raw Data'!D$2:'Raw Data'!D$352))*AVERAGE('Raw Data'!D$2:'Raw Data'!D$352))</f>
        <v>63.91</v>
      </c>
      <c r="E280" s="52" t="str">
        <f ca="1">IFERROR($J$4+('Raw Data'!H280-MIN('Raw Data'!H$2:'Raw Data'!H$352))*($J$3-$J$4)/(MAX('Raw Data'!H$2:'Raw Data'!H$352)-MIN('Raw Data'!H$2:'Raw Data'!H$352)),"")</f>
        <v/>
      </c>
      <c r="F280" s="52" t="str">
        <f ca="1">IFERROR($J$4+('Raw Data'!I280-MIN('Raw Data'!I$2:'Raw Data'!I$352))*($J$3-$J$4)/(MAX('Raw Data'!I$2:'Raw Data'!I$352)-MIN('Raw Data'!I$2:'Raw Data'!I$352)),"")</f>
        <v/>
      </c>
      <c r="G280" s="52">
        <f ca="1">IF(Bracket!$I$1="Composite",AVERAGE(B280:F280),IF(Bracket!$I$1="Kenpom",B280,IF(Bracket!$I$1="PVA",C280,IF(Bracket!$I$1="Sagarin Predictor",D280,IF(Bracket!$I$1="No Preseason",AVERAGE(B280:D280),"")))))</f>
        <v>63.458168426450847</v>
      </c>
      <c r="H280" s="63">
        <f t="shared" ca="1" si="4"/>
        <v>279</v>
      </c>
      <c r="I280" s="52"/>
      <c r="J280" s="52"/>
      <c r="K280" s="52"/>
    </row>
    <row r="281" spans="1:11" x14ac:dyDescent="0.3">
      <c r="A281" s="52" t="str">
        <f>'Raw Data'!A281</f>
        <v>Sacramento St</v>
      </c>
      <c r="B281" s="52">
        <f ca="1">'Raw Data'!B281*($K$2/_xlfn.STDEV.P('Raw Data'!B$2:'Raw Data'!B$352)) + ($J$2-($K$2/_xlfn.STDEV.P('Raw Data'!B$2:'Raw Data'!B$352))*AVERAGE('Raw Data'!B$2:'Raw Data'!B$352))</f>
        <v>62.496237744497144</v>
      </c>
      <c r="C281" s="52">
        <f ca="1">'Raw Data'!C281*($K$2/_xlfn.STDEV.P('Raw Data'!C$2:'Raw Data'!C$352)) + ($J$2-($K$2/_xlfn.STDEV.P('Raw Data'!C$2:'Raw Data'!C$352))*AVERAGE('Raw Data'!C$2:'Raw Data'!C$352))</f>
        <v>64.406273048042152</v>
      </c>
      <c r="D281" s="52">
        <f ca="1">'Raw Data'!D281*($K$2/_xlfn.STDEV.P('Raw Data'!D$2:'Raw Data'!D$352)) + ($J$2-($K$2/_xlfn.STDEV.P('Raw Data'!D$2:'Raw Data'!D$352))*AVERAGE('Raw Data'!D$2:'Raw Data'!D$352))</f>
        <v>64.56</v>
      </c>
      <c r="E281" s="52" t="str">
        <f ca="1">IFERROR($J$4+('Raw Data'!H281-MIN('Raw Data'!H$2:'Raw Data'!H$352))*($J$3-$J$4)/(MAX('Raw Data'!H$2:'Raw Data'!H$352)-MIN('Raw Data'!H$2:'Raw Data'!H$352)),"")</f>
        <v/>
      </c>
      <c r="F281" s="52" t="str">
        <f ca="1">IFERROR($J$4+('Raw Data'!I281-MIN('Raw Data'!I$2:'Raw Data'!I$352))*($J$3-$J$4)/(MAX('Raw Data'!I$2:'Raw Data'!I$352)-MIN('Raw Data'!I$2:'Raw Data'!I$352)),"")</f>
        <v/>
      </c>
      <c r="G281" s="52">
        <f ca="1">IF(Bracket!$I$1="Composite",AVERAGE(B281:F281),IF(Bracket!$I$1="Kenpom",B281,IF(Bracket!$I$1="PVA",C281,IF(Bracket!$I$1="Sagarin Predictor",D281,IF(Bracket!$I$1="No Preseason",AVERAGE(B281:D281),"")))))</f>
        <v>63.820836930846433</v>
      </c>
      <c r="H281" s="63">
        <f t="shared" ca="1" si="4"/>
        <v>271</v>
      </c>
      <c r="I281" s="52"/>
      <c r="J281" s="52"/>
      <c r="K281" s="52"/>
    </row>
    <row r="282" spans="1:11" x14ac:dyDescent="0.3">
      <c r="A282" s="52" t="str">
        <f>'Raw Data'!A282</f>
        <v>La Salle</v>
      </c>
      <c r="B282" s="52">
        <f ca="1">'Raw Data'!B282*($K$2/_xlfn.STDEV.P('Raw Data'!B$2:'Raw Data'!B$352)) + ($J$2-($K$2/_xlfn.STDEV.P('Raw Data'!B$2:'Raw Data'!B$352))*AVERAGE('Raw Data'!B$2:'Raw Data'!B$352))</f>
        <v>63.590039967457429</v>
      </c>
      <c r="C282" s="52">
        <f ca="1">'Raw Data'!C282*($K$2/_xlfn.STDEV.P('Raw Data'!C$2:'Raw Data'!C$352)) + ($J$2-($K$2/_xlfn.STDEV.P('Raw Data'!C$2:'Raw Data'!C$352))*AVERAGE('Raw Data'!C$2:'Raw Data'!C$352))</f>
        <v>65.827939362943283</v>
      </c>
      <c r="D282" s="52">
        <f ca="1">'Raw Data'!D282*($K$2/_xlfn.STDEV.P('Raw Data'!D$2:'Raw Data'!D$352)) + ($J$2-($K$2/_xlfn.STDEV.P('Raw Data'!D$2:'Raw Data'!D$352))*AVERAGE('Raw Data'!D$2:'Raw Data'!D$352))</f>
        <v>64.930000000000007</v>
      </c>
      <c r="E282" s="52" t="str">
        <f ca="1">IFERROR($J$4+('Raw Data'!H282-MIN('Raw Data'!H$2:'Raw Data'!H$352))*($J$3-$J$4)/(MAX('Raw Data'!H$2:'Raw Data'!H$352)-MIN('Raw Data'!H$2:'Raw Data'!H$352)),"")</f>
        <v/>
      </c>
      <c r="F282" s="52" t="str">
        <f ca="1">IFERROR($J$4+('Raw Data'!I282-MIN('Raw Data'!I$2:'Raw Data'!I$352))*($J$3-$J$4)/(MAX('Raw Data'!I$2:'Raw Data'!I$352)-MIN('Raw Data'!I$2:'Raw Data'!I$352)),"")</f>
        <v/>
      </c>
      <c r="G282" s="52">
        <f ca="1">IF(Bracket!$I$1="Composite",AVERAGE(B282:F282),IF(Bracket!$I$1="Kenpom",B282,IF(Bracket!$I$1="PVA",C282,IF(Bracket!$I$1="Sagarin Predictor",D282,IF(Bracket!$I$1="No Preseason",AVERAGE(B282:D282),"")))))</f>
        <v>64.782659776800244</v>
      </c>
      <c r="H282" s="63">
        <f t="shared" ca="1" si="4"/>
        <v>262</v>
      </c>
      <c r="I282" s="52"/>
      <c r="J282" s="52"/>
      <c r="K282" s="52"/>
    </row>
    <row r="283" spans="1:11" x14ac:dyDescent="0.3">
      <c r="A283" s="52" t="str">
        <f>'Raw Data'!A283</f>
        <v>Loyola (MD)</v>
      </c>
      <c r="B283" s="52">
        <f ca="1">'Raw Data'!B283*($K$2/_xlfn.STDEV.P('Raw Data'!B$2:'Raw Data'!B$352)) + ($J$2-($K$2/_xlfn.STDEV.P('Raw Data'!B$2:'Raw Data'!B$352))*AVERAGE('Raw Data'!B$2:'Raw Data'!B$352))</f>
        <v>62.40571618121767</v>
      </c>
      <c r="C283" s="52">
        <f ca="1">'Raw Data'!C283*($K$2/_xlfn.STDEV.P('Raw Data'!C$2:'Raw Data'!C$352)) + ($J$2-($K$2/_xlfn.STDEV.P('Raw Data'!C$2:'Raw Data'!C$352))*AVERAGE('Raw Data'!C$2:'Raw Data'!C$352))</f>
        <v>61.562940418239876</v>
      </c>
      <c r="D283" s="52">
        <f ca="1">'Raw Data'!D283*($K$2/_xlfn.STDEV.P('Raw Data'!D$2:'Raw Data'!D$352)) + ($J$2-($K$2/_xlfn.STDEV.P('Raw Data'!D$2:'Raw Data'!D$352))*AVERAGE('Raw Data'!D$2:'Raw Data'!D$352))</f>
        <v>63.34</v>
      </c>
      <c r="E283" s="52" t="str">
        <f ca="1">IFERROR($J$4+('Raw Data'!H283-MIN('Raw Data'!H$2:'Raw Data'!H$352))*($J$3-$J$4)/(MAX('Raw Data'!H$2:'Raw Data'!H$352)-MIN('Raw Data'!H$2:'Raw Data'!H$352)),"")</f>
        <v/>
      </c>
      <c r="F283" s="52" t="str">
        <f ca="1">IFERROR($J$4+('Raw Data'!I283-MIN('Raw Data'!I$2:'Raw Data'!I$352))*($J$3-$J$4)/(MAX('Raw Data'!I$2:'Raw Data'!I$352)-MIN('Raw Data'!I$2:'Raw Data'!I$352)),"")</f>
        <v/>
      </c>
      <c r="G283" s="52">
        <f ca="1">IF(Bracket!$I$1="Composite",AVERAGE(B283:F283),IF(Bracket!$I$1="Kenpom",B283,IF(Bracket!$I$1="PVA",C283,IF(Bracket!$I$1="Sagarin Predictor",D283,IF(Bracket!$I$1="No Preseason",AVERAGE(B283:D283),"")))))</f>
        <v>62.436218866485852</v>
      </c>
      <c r="H283" s="63">
        <f t="shared" ca="1" si="4"/>
        <v>291</v>
      </c>
      <c r="I283" s="52"/>
      <c r="J283" s="52"/>
      <c r="K283" s="52"/>
    </row>
    <row r="284" spans="1:11" x14ac:dyDescent="0.3">
      <c r="A284" s="52" t="str">
        <f>'Raw Data'!A284</f>
        <v>Brown</v>
      </c>
      <c r="B284" s="52">
        <f ca="1">'Raw Data'!B284*($K$2/_xlfn.STDEV.P('Raw Data'!B$2:'Raw Data'!B$352)) + ($J$2-($K$2/_xlfn.STDEV.P('Raw Data'!B$2:'Raw Data'!B$352))*AVERAGE('Raw Data'!B$2:'Raw Data'!B$352))</f>
        <v>63.454257622538222</v>
      </c>
      <c r="C284" s="52">
        <f ca="1">'Raw Data'!C284*($K$2/_xlfn.STDEV.P('Raw Data'!C$2:'Raw Data'!C$352)) + ($J$2-($K$2/_xlfn.STDEV.P('Raw Data'!C$2:'Raw Data'!C$352))*AVERAGE('Raw Data'!C$2:'Raw Data'!C$352))</f>
        <v>64.018545871250922</v>
      </c>
      <c r="D284" s="52">
        <f ca="1">'Raw Data'!D284*($K$2/_xlfn.STDEV.P('Raw Data'!D$2:'Raw Data'!D$352)) + ($J$2-($K$2/_xlfn.STDEV.P('Raw Data'!D$2:'Raw Data'!D$352))*AVERAGE('Raw Data'!D$2:'Raw Data'!D$352))</f>
        <v>65.42</v>
      </c>
      <c r="E284" s="52" t="str">
        <f ca="1">IFERROR($J$4+('Raw Data'!H284-MIN('Raw Data'!H$2:'Raw Data'!H$352))*($J$3-$J$4)/(MAX('Raw Data'!H$2:'Raw Data'!H$352)-MIN('Raw Data'!H$2:'Raw Data'!H$352)),"")</f>
        <v/>
      </c>
      <c r="F284" s="52" t="str">
        <f ca="1">IFERROR($J$4+('Raw Data'!I284-MIN('Raw Data'!I$2:'Raw Data'!I$352))*($J$3-$J$4)/(MAX('Raw Data'!I$2:'Raw Data'!I$352)-MIN('Raw Data'!I$2:'Raw Data'!I$352)),"")</f>
        <v/>
      </c>
      <c r="G284" s="52">
        <f ca="1">IF(Bracket!$I$1="Composite",AVERAGE(B284:F284),IF(Bracket!$I$1="Kenpom",B284,IF(Bracket!$I$1="PVA",C284,IF(Bracket!$I$1="Sagarin Predictor",D284,IF(Bracket!$I$1="No Preseason",AVERAGE(B284:D284),"")))))</f>
        <v>64.297601164596372</v>
      </c>
      <c r="H284" s="63">
        <f t="shared" ca="1" si="4"/>
        <v>267</v>
      </c>
      <c r="I284" s="52"/>
      <c r="J284" s="52"/>
      <c r="K284" s="52"/>
    </row>
    <row r="285" spans="1:11" x14ac:dyDescent="0.3">
      <c r="A285" s="52" t="str">
        <f>'Raw Data'!A285</f>
        <v>Alabama State</v>
      </c>
      <c r="B285" s="52">
        <f ca="1">'Raw Data'!B285*($K$2/_xlfn.STDEV.P('Raw Data'!B$2:'Raw Data'!B$352)) + ($J$2-($K$2/_xlfn.STDEV.P('Raw Data'!B$2:'Raw Data'!B$352))*AVERAGE('Raw Data'!B$2:'Raw Data'!B$352))</f>
        <v>62.484922549087216</v>
      </c>
      <c r="C285" s="52">
        <f ca="1">'Raw Data'!C285*($K$2/_xlfn.STDEV.P('Raw Data'!C$2:'Raw Data'!C$352)) + ($J$2-($K$2/_xlfn.STDEV.P('Raw Data'!C$2:'Raw Data'!C$352))*AVERAGE('Raw Data'!C$2:'Raw Data'!C$352))</f>
        <v>61.562940418239876</v>
      </c>
      <c r="D285" s="52">
        <f ca="1">'Raw Data'!D285*($K$2/_xlfn.STDEV.P('Raw Data'!D$2:'Raw Data'!D$352)) + ($J$2-($K$2/_xlfn.STDEV.P('Raw Data'!D$2:'Raw Data'!D$352))*AVERAGE('Raw Data'!D$2:'Raw Data'!D$352))</f>
        <v>61.43</v>
      </c>
      <c r="E285" s="52" t="str">
        <f ca="1">IFERROR($J$4+('Raw Data'!H285-MIN('Raw Data'!H$2:'Raw Data'!H$352))*($J$3-$J$4)/(MAX('Raw Data'!H$2:'Raw Data'!H$352)-MIN('Raw Data'!H$2:'Raw Data'!H$352)),"")</f>
        <v/>
      </c>
      <c r="F285" s="52" t="str">
        <f ca="1">IFERROR($J$4+('Raw Data'!I285-MIN('Raw Data'!I$2:'Raw Data'!I$352))*($J$3-$J$4)/(MAX('Raw Data'!I$2:'Raw Data'!I$352)-MIN('Raw Data'!I$2:'Raw Data'!I$352)),"")</f>
        <v/>
      </c>
      <c r="G285" s="52">
        <f ca="1">IF(Bracket!$I$1="Composite",AVERAGE(B285:F285),IF(Bracket!$I$1="Kenpom",B285,IF(Bracket!$I$1="PVA",C285,IF(Bracket!$I$1="Sagarin Predictor",D285,IF(Bracket!$I$1="No Preseason",AVERAGE(B285:D285),"")))))</f>
        <v>61.825954322442364</v>
      </c>
      <c r="H285" s="63">
        <f t="shared" ca="1" si="4"/>
        <v>297</v>
      </c>
      <c r="I285" s="52"/>
      <c r="J285" s="52"/>
      <c r="K285" s="52"/>
    </row>
    <row r="286" spans="1:11" x14ac:dyDescent="0.3">
      <c r="A286" s="52" t="str">
        <f>'Raw Data'!A286</f>
        <v>Utah Valley</v>
      </c>
      <c r="B286" s="52">
        <f ca="1">'Raw Data'!B286*($K$2/_xlfn.STDEV.P('Raw Data'!B$2:'Raw Data'!B$352)) + ($J$2-($K$2/_xlfn.STDEV.P('Raw Data'!B$2:'Raw Data'!B$352))*AVERAGE('Raw Data'!B$2:'Raw Data'!B$352))</f>
        <v>62.477379085480592</v>
      </c>
      <c r="C286" s="52">
        <f ca="1">'Raw Data'!C286*($K$2/_xlfn.STDEV.P('Raw Data'!C$2:'Raw Data'!C$352)) + ($J$2-($K$2/_xlfn.STDEV.P('Raw Data'!C$2:'Raw Data'!C$352))*AVERAGE('Raw Data'!C$2:'Raw Data'!C$352))</f>
        <v>63.501576302195971</v>
      </c>
      <c r="D286" s="52">
        <f ca="1">'Raw Data'!D286*($K$2/_xlfn.STDEV.P('Raw Data'!D$2:'Raw Data'!D$352)) + ($J$2-($K$2/_xlfn.STDEV.P('Raw Data'!D$2:'Raw Data'!D$352))*AVERAGE('Raw Data'!D$2:'Raw Data'!D$352))</f>
        <v>63.31</v>
      </c>
      <c r="E286" s="52" t="str">
        <f ca="1">IFERROR($J$4+('Raw Data'!H286-MIN('Raw Data'!H$2:'Raw Data'!H$352))*($J$3-$J$4)/(MAX('Raw Data'!H$2:'Raw Data'!H$352)-MIN('Raw Data'!H$2:'Raw Data'!H$352)),"")</f>
        <v/>
      </c>
      <c r="F286" s="52" t="str">
        <f ca="1">IFERROR($J$4+('Raw Data'!I286-MIN('Raw Data'!I$2:'Raw Data'!I$352))*($J$3-$J$4)/(MAX('Raw Data'!I$2:'Raw Data'!I$352)-MIN('Raw Data'!I$2:'Raw Data'!I$352)),"")</f>
        <v/>
      </c>
      <c r="G286" s="52">
        <f ca="1">IF(Bracket!$I$1="Composite",AVERAGE(B286:F286),IF(Bracket!$I$1="Kenpom",B286,IF(Bracket!$I$1="PVA",C286,IF(Bracket!$I$1="Sagarin Predictor",D286,IF(Bracket!$I$1="No Preseason",AVERAGE(B286:D286),"")))))</f>
        <v>63.096318462558855</v>
      </c>
      <c r="H286" s="63">
        <f t="shared" ca="1" si="4"/>
        <v>284</v>
      </c>
      <c r="I286" s="52"/>
      <c r="J286" s="52"/>
      <c r="K286" s="52"/>
    </row>
    <row r="287" spans="1:11" x14ac:dyDescent="0.3">
      <c r="A287" s="52" t="str">
        <f>'Raw Data'!A287</f>
        <v>LIU Brooklyn</v>
      </c>
      <c r="B287" s="52">
        <f ca="1">'Raw Data'!B287*($K$2/_xlfn.STDEV.P('Raw Data'!B$2:'Raw Data'!B$352)) + ($J$2-($K$2/_xlfn.STDEV.P('Raw Data'!B$2:'Raw Data'!B$352))*AVERAGE('Raw Data'!B$2:'Raw Data'!B$352))</f>
        <v>62.696139530072642</v>
      </c>
      <c r="C287" s="52">
        <f ca="1">'Raw Data'!C287*($K$2/_xlfn.STDEV.P('Raw Data'!C$2:'Raw Data'!C$352)) + ($J$2-($K$2/_xlfn.STDEV.P('Raw Data'!C$2:'Raw Data'!C$352))*AVERAGE('Raw Data'!C$2:'Raw Data'!C$352))</f>
        <v>62.338394771822308</v>
      </c>
      <c r="D287" s="52">
        <f ca="1">'Raw Data'!D287*($K$2/_xlfn.STDEV.P('Raw Data'!D$2:'Raw Data'!D$352)) + ($J$2-($K$2/_xlfn.STDEV.P('Raw Data'!D$2:'Raw Data'!D$352))*AVERAGE('Raw Data'!D$2:'Raw Data'!D$352))</f>
        <v>62.96</v>
      </c>
      <c r="E287" s="52" t="str">
        <f ca="1">IFERROR($J$4+('Raw Data'!H287-MIN('Raw Data'!H$2:'Raw Data'!H$352))*($J$3-$J$4)/(MAX('Raw Data'!H$2:'Raw Data'!H$352)-MIN('Raw Data'!H$2:'Raw Data'!H$352)),"")</f>
        <v/>
      </c>
      <c r="F287" s="52" t="str">
        <f ca="1">IFERROR($J$4+('Raw Data'!I287-MIN('Raw Data'!I$2:'Raw Data'!I$352))*($J$3-$J$4)/(MAX('Raw Data'!I$2:'Raw Data'!I$352)-MIN('Raw Data'!I$2:'Raw Data'!I$352)),"")</f>
        <v/>
      </c>
      <c r="G287" s="52">
        <f ca="1">IF(Bracket!$I$1="Composite",AVERAGE(B287:F287),IF(Bracket!$I$1="Kenpom",B287,IF(Bracket!$I$1="PVA",C287,IF(Bracket!$I$1="Sagarin Predictor",D287,IF(Bracket!$I$1="No Preseason",AVERAGE(B287:D287),"")))))</f>
        <v>62.66484476729832</v>
      </c>
      <c r="H287" s="63">
        <f t="shared" ca="1" si="4"/>
        <v>289</v>
      </c>
      <c r="I287" s="52"/>
      <c r="J287" s="52"/>
      <c r="K287" s="52"/>
    </row>
    <row r="288" spans="1:11" x14ac:dyDescent="0.3">
      <c r="A288" s="52" t="str">
        <f>'Raw Data'!A288</f>
        <v>Longwood</v>
      </c>
      <c r="B288" s="52">
        <f ca="1">'Raw Data'!B288*($K$2/_xlfn.STDEV.P('Raw Data'!B$2:'Raw Data'!B$352)) + ($J$2-($K$2/_xlfn.STDEV.P('Raw Data'!B$2:'Raw Data'!B$352))*AVERAGE('Raw Data'!B$2:'Raw Data'!B$352))</f>
        <v>62.039858196296478</v>
      </c>
      <c r="C288" s="52">
        <f ca="1">'Raw Data'!C288*($K$2/_xlfn.STDEV.P('Raw Data'!C$2:'Raw Data'!C$352)) + ($J$2-($K$2/_xlfn.STDEV.P('Raw Data'!C$2:'Raw Data'!C$352))*AVERAGE('Raw Data'!C$2:'Raw Data'!C$352))</f>
        <v>62.984606733141007</v>
      </c>
      <c r="D288" s="52">
        <f ca="1">'Raw Data'!D288*($K$2/_xlfn.STDEV.P('Raw Data'!D$2:'Raw Data'!D$352)) + ($J$2-($K$2/_xlfn.STDEV.P('Raw Data'!D$2:'Raw Data'!D$352))*AVERAGE('Raw Data'!D$2:'Raw Data'!D$352))</f>
        <v>62</v>
      </c>
      <c r="E288" s="52" t="str">
        <f ca="1">IFERROR($J$4+('Raw Data'!H288-MIN('Raw Data'!H$2:'Raw Data'!H$352))*($J$3-$J$4)/(MAX('Raw Data'!H$2:'Raw Data'!H$352)-MIN('Raw Data'!H$2:'Raw Data'!H$352)),"")</f>
        <v/>
      </c>
      <c r="F288" s="52" t="str">
        <f ca="1">IFERROR($J$4+('Raw Data'!I288-MIN('Raw Data'!I$2:'Raw Data'!I$352))*($J$3-$J$4)/(MAX('Raw Data'!I$2:'Raw Data'!I$352)-MIN('Raw Data'!I$2:'Raw Data'!I$352)),"")</f>
        <v/>
      </c>
      <c r="G288" s="52">
        <f ca="1">IF(Bracket!$I$1="Composite",AVERAGE(B288:F288),IF(Bracket!$I$1="Kenpom",B288,IF(Bracket!$I$1="PVA",C288,IF(Bracket!$I$1="Sagarin Predictor",D288,IF(Bracket!$I$1="No Preseason",AVERAGE(B288:D288),"")))))</f>
        <v>62.341488309812497</v>
      </c>
      <c r="H288" s="63">
        <f t="shared" ca="1" si="4"/>
        <v>292</v>
      </c>
      <c r="I288" s="52"/>
      <c r="J288" s="52"/>
      <c r="K288" s="52"/>
    </row>
    <row r="289" spans="1:11" x14ac:dyDescent="0.3">
      <c r="A289" s="52" t="str">
        <f>'Raw Data'!A289</f>
        <v>Sacred Heart</v>
      </c>
      <c r="B289" s="52">
        <f ca="1">'Raw Data'!B289*($K$2/_xlfn.STDEV.P('Raw Data'!B$2:'Raw Data'!B$352)) + ($J$2-($K$2/_xlfn.STDEV.P('Raw Data'!B$2:'Raw Data'!B$352))*AVERAGE('Raw Data'!B$2:'Raw Data'!B$352))</f>
        <v>61.806010824491175</v>
      </c>
      <c r="C289" s="52">
        <f ca="1">'Raw Data'!C289*($K$2/_xlfn.STDEV.P('Raw Data'!C$2:'Raw Data'!C$352)) + ($J$2-($K$2/_xlfn.STDEV.P('Raw Data'!C$2:'Raw Data'!C$352))*AVERAGE('Raw Data'!C$2:'Raw Data'!C$352))</f>
        <v>60.658243672393695</v>
      </c>
      <c r="D289" s="52">
        <f ca="1">'Raw Data'!D289*($K$2/_xlfn.STDEV.P('Raw Data'!D$2:'Raw Data'!D$352)) + ($J$2-($K$2/_xlfn.STDEV.P('Raw Data'!D$2:'Raw Data'!D$352))*AVERAGE('Raw Data'!D$2:'Raw Data'!D$352))</f>
        <v>62.08</v>
      </c>
      <c r="E289" s="52" t="str">
        <f ca="1">IFERROR($J$4+('Raw Data'!H289-MIN('Raw Data'!H$2:'Raw Data'!H$352))*($J$3-$J$4)/(MAX('Raw Data'!H$2:'Raw Data'!H$352)-MIN('Raw Data'!H$2:'Raw Data'!H$352)),"")</f>
        <v/>
      </c>
      <c r="F289" s="52" t="str">
        <f ca="1">IFERROR($J$4+('Raw Data'!I289-MIN('Raw Data'!I$2:'Raw Data'!I$352))*($J$3-$J$4)/(MAX('Raw Data'!I$2:'Raw Data'!I$352)-MIN('Raw Data'!I$2:'Raw Data'!I$352)),"")</f>
        <v/>
      </c>
      <c r="G289" s="52">
        <f ca="1">IF(Bracket!$I$1="Composite",AVERAGE(B289:F289),IF(Bracket!$I$1="Kenpom",B289,IF(Bracket!$I$1="PVA",C289,IF(Bracket!$I$1="Sagarin Predictor",D289,IF(Bracket!$I$1="No Preseason",AVERAGE(B289:D289),"")))))</f>
        <v>61.51475149896163</v>
      </c>
      <c r="H289" s="63">
        <f t="shared" ca="1" si="4"/>
        <v>302</v>
      </c>
      <c r="I289" s="52"/>
      <c r="J289" s="52"/>
      <c r="K289" s="52"/>
    </row>
    <row r="290" spans="1:11" x14ac:dyDescent="0.3">
      <c r="A290" s="52" t="str">
        <f>'Raw Data'!A290</f>
        <v>Campbell</v>
      </c>
      <c r="B290" s="52">
        <f ca="1">'Raw Data'!B290*($K$2/_xlfn.STDEV.P('Raw Data'!B$2:'Raw Data'!B$352)) + ($J$2-($K$2/_xlfn.STDEV.P('Raw Data'!B$2:'Raw Data'!B$352))*AVERAGE('Raw Data'!B$2:'Raw Data'!B$352))</f>
        <v>61.368489935307068</v>
      </c>
      <c r="C290" s="52">
        <f ca="1">'Raw Data'!C290*($K$2/_xlfn.STDEV.P('Raw Data'!C$2:'Raw Data'!C$352)) + ($J$2-($K$2/_xlfn.STDEV.P('Raw Data'!C$2:'Raw Data'!C$352))*AVERAGE('Raw Data'!C$2:'Raw Data'!C$352))</f>
        <v>63.37233390993223</v>
      </c>
      <c r="D290" s="52">
        <f ca="1">'Raw Data'!D290*($K$2/_xlfn.STDEV.P('Raw Data'!D$2:'Raw Data'!D$352)) + ($J$2-($K$2/_xlfn.STDEV.P('Raw Data'!D$2:'Raw Data'!D$352))*AVERAGE('Raw Data'!D$2:'Raw Data'!D$352))</f>
        <v>61.63</v>
      </c>
      <c r="E290" s="52" t="str">
        <f ca="1">IFERROR($J$4+('Raw Data'!H290-MIN('Raw Data'!H$2:'Raw Data'!H$352))*($J$3-$J$4)/(MAX('Raw Data'!H$2:'Raw Data'!H$352)-MIN('Raw Data'!H$2:'Raw Data'!H$352)),"")</f>
        <v/>
      </c>
      <c r="F290" s="52" t="str">
        <f ca="1">IFERROR($J$4+('Raw Data'!I290-MIN('Raw Data'!I$2:'Raw Data'!I$352))*($J$3-$J$4)/(MAX('Raw Data'!I$2:'Raw Data'!I$352)-MIN('Raw Data'!I$2:'Raw Data'!I$352)),"")</f>
        <v/>
      </c>
      <c r="G290" s="52">
        <f ca="1">IF(Bracket!$I$1="Composite",AVERAGE(B290:F290),IF(Bracket!$I$1="Kenpom",B290,IF(Bracket!$I$1="PVA",C290,IF(Bracket!$I$1="Sagarin Predictor",D290,IF(Bracket!$I$1="No Preseason",AVERAGE(B290:D290),"")))))</f>
        <v>62.123607948413103</v>
      </c>
      <c r="H290" s="63">
        <f t="shared" ca="1" si="4"/>
        <v>294</v>
      </c>
      <c r="I290" s="52"/>
      <c r="J290" s="52"/>
      <c r="K290" s="52"/>
    </row>
    <row r="291" spans="1:11" x14ac:dyDescent="0.3">
      <c r="A291" s="52" t="str">
        <f>'Raw Data'!A291</f>
        <v>Marist</v>
      </c>
      <c r="B291" s="52">
        <f ca="1">'Raw Data'!B291*($K$2/_xlfn.STDEV.P('Raw Data'!B$2:'Raw Data'!B$352)) + ($J$2-($K$2/_xlfn.STDEV.P('Raw Data'!B$2:'Raw Data'!B$352))*AVERAGE('Raw Data'!B$2:'Raw Data'!B$352))</f>
        <v>60.938512509729577</v>
      </c>
      <c r="C291" s="52">
        <f ca="1">'Raw Data'!C291*($K$2/_xlfn.STDEV.P('Raw Data'!C$2:'Raw Data'!C$352)) + ($J$2-($K$2/_xlfn.STDEV.P('Raw Data'!C$2:'Raw Data'!C$352))*AVERAGE('Raw Data'!C$2:'Raw Data'!C$352))</f>
        <v>60.787486064657436</v>
      </c>
      <c r="D291" s="52">
        <f ca="1">'Raw Data'!D291*($K$2/_xlfn.STDEV.P('Raw Data'!D$2:'Raw Data'!D$352)) + ($J$2-($K$2/_xlfn.STDEV.P('Raw Data'!D$2:'Raw Data'!D$352))*AVERAGE('Raw Data'!D$2:'Raw Data'!D$352))</f>
        <v>62</v>
      </c>
      <c r="E291" s="52" t="str">
        <f ca="1">IFERROR($J$4+('Raw Data'!H291-MIN('Raw Data'!H$2:'Raw Data'!H$352))*($J$3-$J$4)/(MAX('Raw Data'!H$2:'Raw Data'!H$352)-MIN('Raw Data'!H$2:'Raw Data'!H$352)),"")</f>
        <v/>
      </c>
      <c r="F291" s="52" t="str">
        <f ca="1">IFERROR($J$4+('Raw Data'!I291-MIN('Raw Data'!I$2:'Raw Data'!I$352))*($J$3-$J$4)/(MAX('Raw Data'!I$2:'Raw Data'!I$352)-MIN('Raw Data'!I$2:'Raw Data'!I$352)),"")</f>
        <v/>
      </c>
      <c r="G291" s="52">
        <f ca="1">IF(Bracket!$I$1="Composite",AVERAGE(B291:F291),IF(Bracket!$I$1="Kenpom",B291,IF(Bracket!$I$1="PVA",C291,IF(Bracket!$I$1="Sagarin Predictor",D291,IF(Bracket!$I$1="No Preseason",AVERAGE(B291:D291),"")))))</f>
        <v>61.241999524795666</v>
      </c>
      <c r="H291" s="63">
        <f t="shared" ca="1" si="4"/>
        <v>303</v>
      </c>
      <c r="I291" s="52"/>
      <c r="J291" s="52"/>
      <c r="K291" s="52"/>
    </row>
    <row r="292" spans="1:11" x14ac:dyDescent="0.3">
      <c r="A292" s="52" t="str">
        <f>'Raw Data'!A292</f>
        <v>NC Central</v>
      </c>
      <c r="B292" s="52">
        <f ca="1">'Raw Data'!B292*($K$2/_xlfn.STDEV.P('Raw Data'!B$2:'Raw Data'!B$352)) + ($J$2-($K$2/_xlfn.STDEV.P('Raw Data'!B$2:'Raw Data'!B$352))*AVERAGE('Raw Data'!B$2:'Raw Data'!B$352))</f>
        <v>61.289283567437529</v>
      </c>
      <c r="C292" s="52">
        <f ca="1">'Raw Data'!C292*($K$2/_xlfn.STDEV.P('Raw Data'!C$2:'Raw Data'!C$352)) + ($J$2-($K$2/_xlfn.STDEV.P('Raw Data'!C$2:'Raw Data'!C$352))*AVERAGE('Raw Data'!C$2:'Raw Data'!C$352))</f>
        <v>62.209152379558574</v>
      </c>
      <c r="D292" s="52">
        <f ca="1">'Raw Data'!D292*($K$2/_xlfn.STDEV.P('Raw Data'!D$2:'Raw Data'!D$352)) + ($J$2-($K$2/_xlfn.STDEV.P('Raw Data'!D$2:'Raw Data'!D$352))*AVERAGE('Raw Data'!D$2:'Raw Data'!D$352))</f>
        <v>61.58</v>
      </c>
      <c r="E292" s="52" t="str">
        <f ca="1">IFERROR($J$4+('Raw Data'!H292-MIN('Raw Data'!H$2:'Raw Data'!H$352))*($J$3-$J$4)/(MAX('Raw Data'!H$2:'Raw Data'!H$352)-MIN('Raw Data'!H$2:'Raw Data'!H$352)),"")</f>
        <v/>
      </c>
      <c r="F292" s="52" t="str">
        <f ca="1">IFERROR($J$4+('Raw Data'!I292-MIN('Raw Data'!I$2:'Raw Data'!I$352))*($J$3-$J$4)/(MAX('Raw Data'!I$2:'Raw Data'!I$352)-MIN('Raw Data'!I$2:'Raw Data'!I$352)),"")</f>
        <v/>
      </c>
      <c r="G292" s="52">
        <f ca="1">IF(Bracket!$I$1="Composite",AVERAGE(B292:F292),IF(Bracket!$I$1="Kenpom",B292,IF(Bracket!$I$1="PVA",C292,IF(Bracket!$I$1="Sagarin Predictor",D292,IF(Bracket!$I$1="No Preseason",AVERAGE(B292:D292),"")))))</f>
        <v>61.692811982332024</v>
      </c>
      <c r="H292" s="63">
        <f t="shared" ca="1" si="4"/>
        <v>299</v>
      </c>
      <c r="I292" s="52"/>
      <c r="J292" s="52"/>
      <c r="K292" s="52"/>
    </row>
    <row r="293" spans="1:11" x14ac:dyDescent="0.3">
      <c r="A293" s="52" t="str">
        <f>'Raw Data'!A293</f>
        <v>Quinnipiac</v>
      </c>
      <c r="B293" s="52">
        <f ca="1">'Raw Data'!B293*($K$2/_xlfn.STDEV.P('Raw Data'!B$2:'Raw Data'!B$352)) + ($J$2-($K$2/_xlfn.STDEV.P('Raw Data'!B$2:'Raw Data'!B$352))*AVERAGE('Raw Data'!B$2:'Raw Data'!B$352))</f>
        <v>61.409978985143489</v>
      </c>
      <c r="C293" s="52">
        <f ca="1">'Raw Data'!C293*($K$2/_xlfn.STDEV.P('Raw Data'!C$2:'Raw Data'!C$352)) + ($J$2-($K$2/_xlfn.STDEV.P('Raw Data'!C$2:'Raw Data'!C$352))*AVERAGE('Raw Data'!C$2:'Raw Data'!C$352))</f>
        <v>61.304455633712394</v>
      </c>
      <c r="D293" s="52">
        <f ca="1">'Raw Data'!D293*($K$2/_xlfn.STDEV.P('Raw Data'!D$2:'Raw Data'!D$352)) + ($J$2-($K$2/_xlfn.STDEV.P('Raw Data'!D$2:'Raw Data'!D$352))*AVERAGE('Raw Data'!D$2:'Raw Data'!D$352))</f>
        <v>63.42</v>
      </c>
      <c r="E293" s="52" t="str">
        <f ca="1">IFERROR($J$4+('Raw Data'!H293-MIN('Raw Data'!H$2:'Raw Data'!H$352))*($J$3-$J$4)/(MAX('Raw Data'!H$2:'Raw Data'!H$352)-MIN('Raw Data'!H$2:'Raw Data'!H$352)),"")</f>
        <v/>
      </c>
      <c r="F293" s="52" t="str">
        <f ca="1">IFERROR($J$4+('Raw Data'!I293-MIN('Raw Data'!I$2:'Raw Data'!I$352))*($J$3-$J$4)/(MAX('Raw Data'!I$2:'Raw Data'!I$352)-MIN('Raw Data'!I$2:'Raw Data'!I$352)),"")</f>
        <v/>
      </c>
      <c r="G293" s="52">
        <f ca="1">IF(Bracket!$I$1="Composite",AVERAGE(B293:F293),IF(Bracket!$I$1="Kenpom",B293,IF(Bracket!$I$1="PVA",C293,IF(Bracket!$I$1="Sagarin Predictor",D293,IF(Bracket!$I$1="No Preseason",AVERAGE(B293:D293),"")))))</f>
        <v>62.044811539618628</v>
      </c>
      <c r="H293" s="63">
        <f t="shared" ca="1" si="4"/>
        <v>295</v>
      </c>
      <c r="I293" s="52"/>
      <c r="J293" s="52"/>
      <c r="K293" s="52"/>
    </row>
    <row r="294" spans="1:11" x14ac:dyDescent="0.3">
      <c r="A294" s="52" t="str">
        <f>'Raw Data'!A294</f>
        <v>Bethune-Cookman</v>
      </c>
      <c r="B294" s="52">
        <f ca="1">'Raw Data'!B294*($K$2/_xlfn.STDEV.P('Raw Data'!B$2:'Raw Data'!B$352)) + ($J$2-($K$2/_xlfn.STDEV.P('Raw Data'!B$2:'Raw Data'!B$352))*AVERAGE('Raw Data'!B$2:'Raw Data'!B$352))</f>
        <v>61.047892732025602</v>
      </c>
      <c r="C294" s="52">
        <f ca="1">'Raw Data'!C294*($K$2/_xlfn.STDEV.P('Raw Data'!C$2:'Raw Data'!C$352)) + ($J$2-($K$2/_xlfn.STDEV.P('Raw Data'!C$2:'Raw Data'!C$352))*AVERAGE('Raw Data'!C$2:'Raw Data'!C$352))</f>
        <v>61.69218281050361</v>
      </c>
      <c r="D294" s="52">
        <f ca="1">'Raw Data'!D294*($K$2/_xlfn.STDEV.P('Raw Data'!D$2:'Raw Data'!D$352)) + ($J$2-($K$2/_xlfn.STDEV.P('Raw Data'!D$2:'Raw Data'!D$352))*AVERAGE('Raw Data'!D$2:'Raw Data'!D$352))</f>
        <v>60.11</v>
      </c>
      <c r="E294" s="52" t="str">
        <f ca="1">IFERROR($J$4+('Raw Data'!H294-MIN('Raw Data'!H$2:'Raw Data'!H$352))*($J$3-$J$4)/(MAX('Raw Data'!H$2:'Raw Data'!H$352)-MIN('Raw Data'!H$2:'Raw Data'!H$352)),"")</f>
        <v/>
      </c>
      <c r="F294" s="52" t="str">
        <f ca="1">IFERROR($J$4+('Raw Data'!I294-MIN('Raw Data'!I$2:'Raw Data'!I$352))*($J$3-$J$4)/(MAX('Raw Data'!I$2:'Raw Data'!I$352)-MIN('Raw Data'!I$2:'Raw Data'!I$352)),"")</f>
        <v/>
      </c>
      <c r="G294" s="52">
        <f ca="1">IF(Bracket!$I$1="Composite",AVERAGE(B294:F294),IF(Bracket!$I$1="Kenpom",B294,IF(Bracket!$I$1="PVA",C294,IF(Bracket!$I$1="Sagarin Predictor",D294,IF(Bracket!$I$1="No Preseason",AVERAGE(B294:D294),"")))))</f>
        <v>60.950025180843078</v>
      </c>
      <c r="H294" s="63">
        <f t="shared" ca="1" si="4"/>
        <v>306</v>
      </c>
      <c r="I294" s="52"/>
      <c r="J294" s="52"/>
      <c r="K294" s="52"/>
    </row>
    <row r="295" spans="1:11" x14ac:dyDescent="0.3">
      <c r="A295" s="52" t="str">
        <f>'Raw Data'!A295</f>
        <v>Charleston So</v>
      </c>
      <c r="B295" s="52">
        <f ca="1">'Raw Data'!B295*($K$2/_xlfn.STDEV.P('Raw Data'!B$2:'Raw Data'!B$352)) + ($J$2-($K$2/_xlfn.STDEV.P('Raw Data'!B$2:'Raw Data'!B$352))*AVERAGE('Raw Data'!B$2:'Raw Data'!B$352))</f>
        <v>60.814045360220305</v>
      </c>
      <c r="C295" s="52">
        <f ca="1">'Raw Data'!C295*($K$2/_xlfn.STDEV.P('Raw Data'!C$2:'Raw Data'!C$352)) + ($J$2-($K$2/_xlfn.STDEV.P('Raw Data'!C$2:'Raw Data'!C$352))*AVERAGE('Raw Data'!C$2:'Raw Data'!C$352))</f>
        <v>63.501576302195971</v>
      </c>
      <c r="D295" s="52">
        <f ca="1">'Raw Data'!D295*($K$2/_xlfn.STDEV.P('Raw Data'!D$2:'Raw Data'!D$352)) + ($J$2-($K$2/_xlfn.STDEV.P('Raw Data'!D$2:'Raw Data'!D$352))*AVERAGE('Raw Data'!D$2:'Raw Data'!D$352))</f>
        <v>62.17</v>
      </c>
      <c r="E295" s="52" t="str">
        <f ca="1">IFERROR($J$4+('Raw Data'!H295-MIN('Raw Data'!H$2:'Raw Data'!H$352))*($J$3-$J$4)/(MAX('Raw Data'!H$2:'Raw Data'!H$352)-MIN('Raw Data'!H$2:'Raw Data'!H$352)),"")</f>
        <v/>
      </c>
      <c r="F295" s="52" t="str">
        <f ca="1">IFERROR($J$4+('Raw Data'!I295-MIN('Raw Data'!I$2:'Raw Data'!I$352))*($J$3-$J$4)/(MAX('Raw Data'!I$2:'Raw Data'!I$352)-MIN('Raw Data'!I$2:'Raw Data'!I$352)),"")</f>
        <v/>
      </c>
      <c r="G295" s="52">
        <f ca="1">IF(Bracket!$I$1="Composite",AVERAGE(B295:F295),IF(Bracket!$I$1="Kenpom",B295,IF(Bracket!$I$1="PVA",C295,IF(Bracket!$I$1="Sagarin Predictor",D295,IF(Bracket!$I$1="No Preseason",AVERAGE(B295:D295),"")))))</f>
        <v>62.161873887472098</v>
      </c>
      <c r="H295" s="63">
        <f t="shared" ca="1" si="4"/>
        <v>293</v>
      </c>
      <c r="I295" s="52"/>
      <c r="J295" s="52"/>
      <c r="K295" s="52"/>
    </row>
    <row r="296" spans="1:11" x14ac:dyDescent="0.3">
      <c r="A296" s="52" t="str">
        <f>'Raw Data'!A296</f>
        <v>Seattle</v>
      </c>
      <c r="B296" s="52">
        <f ca="1">'Raw Data'!B296*($K$2/_xlfn.STDEV.P('Raw Data'!B$2:'Raw Data'!B$352)) + ($J$2-($K$2/_xlfn.STDEV.P('Raw Data'!B$2:'Raw Data'!B$352))*AVERAGE('Raw Data'!B$2:'Raw Data'!B$352))</f>
        <v>61.92293451039383</v>
      </c>
      <c r="C296" s="52">
        <f ca="1">'Raw Data'!C296*($K$2/_xlfn.STDEV.P('Raw Data'!C$2:'Raw Data'!C$352)) + ($J$2-($K$2/_xlfn.STDEV.P('Raw Data'!C$2:'Raw Data'!C$352))*AVERAGE('Raw Data'!C$2:'Raw Data'!C$352))</f>
        <v>64.277030655778404</v>
      </c>
      <c r="D296" s="52">
        <f ca="1">'Raw Data'!D296*($K$2/_xlfn.STDEV.P('Raw Data'!D$2:'Raw Data'!D$352)) + ($J$2-($K$2/_xlfn.STDEV.P('Raw Data'!D$2:'Raw Data'!D$352))*AVERAGE('Raw Data'!D$2:'Raw Data'!D$352))</f>
        <v>63.05</v>
      </c>
      <c r="E296" s="52" t="str">
        <f ca="1">IFERROR($J$4+('Raw Data'!H296-MIN('Raw Data'!H$2:'Raw Data'!H$352))*($J$3-$J$4)/(MAX('Raw Data'!H$2:'Raw Data'!H$352)-MIN('Raw Data'!H$2:'Raw Data'!H$352)),"")</f>
        <v/>
      </c>
      <c r="F296" s="52" t="str">
        <f ca="1">IFERROR($J$4+('Raw Data'!I296-MIN('Raw Data'!I$2:'Raw Data'!I$352))*($J$3-$J$4)/(MAX('Raw Data'!I$2:'Raw Data'!I$352)-MIN('Raw Data'!I$2:'Raw Data'!I$352)),"")</f>
        <v/>
      </c>
      <c r="G296" s="52">
        <f ca="1">IF(Bracket!$I$1="Composite",AVERAGE(B296:F296),IF(Bracket!$I$1="Kenpom",B296,IF(Bracket!$I$1="PVA",C296,IF(Bracket!$I$1="Sagarin Predictor",D296,IF(Bracket!$I$1="No Preseason",AVERAGE(B296:D296),"")))))</f>
        <v>63.083321722057406</v>
      </c>
      <c r="H296" s="63">
        <f t="shared" ca="1" si="4"/>
        <v>285</v>
      </c>
      <c r="I296" s="52"/>
      <c r="J296" s="52"/>
      <c r="K296" s="52"/>
    </row>
    <row r="297" spans="1:11" x14ac:dyDescent="0.3">
      <c r="A297" s="52" t="str">
        <f>'Raw Data'!A297</f>
        <v>St Francis (PA)</v>
      </c>
      <c r="B297" s="52">
        <f ca="1">'Raw Data'!B297*($K$2/_xlfn.STDEV.P('Raw Data'!B$2:'Raw Data'!B$352)) + ($J$2-($K$2/_xlfn.STDEV.P('Raw Data'!B$2:'Raw Data'!B$352))*AVERAGE('Raw Data'!B$2:'Raw Data'!B$352))</f>
        <v>61.534446134652761</v>
      </c>
      <c r="C297" s="52">
        <f ca="1">'Raw Data'!C297*($K$2/_xlfn.STDEV.P('Raw Data'!C$2:'Raw Data'!C$352)) + ($J$2-($K$2/_xlfn.STDEV.P('Raw Data'!C$2:'Raw Data'!C$352))*AVERAGE('Raw Data'!C$2:'Raw Data'!C$352))</f>
        <v>62.209152379558574</v>
      </c>
      <c r="D297" s="52">
        <f ca="1">'Raw Data'!D297*($K$2/_xlfn.STDEV.P('Raw Data'!D$2:'Raw Data'!D$352)) + ($J$2-($K$2/_xlfn.STDEV.P('Raw Data'!D$2:'Raw Data'!D$352))*AVERAGE('Raw Data'!D$2:'Raw Data'!D$352))</f>
        <v>62.03</v>
      </c>
      <c r="E297" s="52" t="str">
        <f ca="1">IFERROR($J$4+('Raw Data'!H297-MIN('Raw Data'!H$2:'Raw Data'!H$352))*($J$3-$J$4)/(MAX('Raw Data'!H$2:'Raw Data'!H$352)-MIN('Raw Data'!H$2:'Raw Data'!H$352)),"")</f>
        <v/>
      </c>
      <c r="F297" s="52" t="str">
        <f ca="1">IFERROR($J$4+('Raw Data'!I297-MIN('Raw Data'!I$2:'Raw Data'!I$352))*($J$3-$J$4)/(MAX('Raw Data'!I$2:'Raw Data'!I$352)-MIN('Raw Data'!I$2:'Raw Data'!I$352)),"")</f>
        <v/>
      </c>
      <c r="G297" s="52">
        <f ca="1">IF(Bracket!$I$1="Composite",AVERAGE(B297:F297),IF(Bracket!$I$1="Kenpom",B297,IF(Bracket!$I$1="PVA",C297,IF(Bracket!$I$1="Sagarin Predictor",D297,IF(Bracket!$I$1="No Preseason",AVERAGE(B297:D297),"")))))</f>
        <v>61.924532838070441</v>
      </c>
      <c r="H297" s="63">
        <f t="shared" ca="1" si="4"/>
        <v>296</v>
      </c>
      <c r="I297" s="52"/>
      <c r="J297" s="52"/>
      <c r="K297" s="52"/>
    </row>
    <row r="298" spans="1:11" x14ac:dyDescent="0.3">
      <c r="A298" s="52" t="str">
        <f>'Raw Data'!A298</f>
        <v>Cleveland State</v>
      </c>
      <c r="B298" s="52">
        <f ca="1">'Raw Data'!B298*($K$2/_xlfn.STDEV.P('Raw Data'!B$2:'Raw Data'!B$352)) + ($J$2-($K$2/_xlfn.STDEV.P('Raw Data'!B$2:'Raw Data'!B$352))*AVERAGE('Raw Data'!B$2:'Raw Data'!B$352))</f>
        <v>60.912110387106395</v>
      </c>
      <c r="C298" s="52">
        <f ca="1">'Raw Data'!C298*($K$2/_xlfn.STDEV.P('Raw Data'!C$2:'Raw Data'!C$352)) + ($J$2-($K$2/_xlfn.STDEV.P('Raw Data'!C$2:'Raw Data'!C$352))*AVERAGE('Raw Data'!C$2:'Raw Data'!C$352))</f>
        <v>63.37233390993223</v>
      </c>
      <c r="D298" s="52">
        <f ca="1">'Raw Data'!D298*($K$2/_xlfn.STDEV.P('Raw Data'!D$2:'Raw Data'!D$352)) + ($J$2-($K$2/_xlfn.STDEV.P('Raw Data'!D$2:'Raw Data'!D$352))*AVERAGE('Raw Data'!D$2:'Raw Data'!D$352))</f>
        <v>63.54</v>
      </c>
      <c r="E298" s="52" t="str">
        <f ca="1">IFERROR($J$4+('Raw Data'!H298-MIN('Raw Data'!H$2:'Raw Data'!H$352))*($J$3-$J$4)/(MAX('Raw Data'!H$2:'Raw Data'!H$352)-MIN('Raw Data'!H$2:'Raw Data'!H$352)),"")</f>
        <v/>
      </c>
      <c r="F298" s="52" t="str">
        <f ca="1">IFERROR($J$4+('Raw Data'!I298-MIN('Raw Data'!I$2:'Raw Data'!I$352))*($J$3-$J$4)/(MAX('Raw Data'!I$2:'Raw Data'!I$352)-MIN('Raw Data'!I$2:'Raw Data'!I$352)),"")</f>
        <v/>
      </c>
      <c r="G298" s="52">
        <f ca="1">IF(Bracket!$I$1="Composite",AVERAGE(B298:F298),IF(Bracket!$I$1="Kenpom",B298,IF(Bracket!$I$1="PVA",C298,IF(Bracket!$I$1="Sagarin Predictor",D298,IF(Bracket!$I$1="No Preseason",AVERAGE(B298:D298),"")))))</f>
        <v>62.608148099012872</v>
      </c>
      <c r="H298" s="63">
        <f t="shared" ca="1" si="4"/>
        <v>290</v>
      </c>
      <c r="I298" s="52"/>
      <c r="J298" s="52"/>
      <c r="K298" s="52"/>
    </row>
    <row r="299" spans="1:11" x14ac:dyDescent="0.3">
      <c r="A299" s="52" t="str">
        <f>'Raw Data'!A299</f>
        <v>Alcorn State</v>
      </c>
      <c r="B299" s="52">
        <f ca="1">'Raw Data'!B299*($K$2/_xlfn.STDEV.P('Raw Data'!B$2:'Raw Data'!B$352)) + ($J$2-($K$2/_xlfn.STDEV.P('Raw Data'!B$2:'Raw Data'!B$352))*AVERAGE('Raw Data'!B$2:'Raw Data'!B$352))</f>
        <v>61.277968372027594</v>
      </c>
      <c r="C299" s="52">
        <f ca="1">'Raw Data'!C299*($K$2/_xlfn.STDEV.P('Raw Data'!C$2:'Raw Data'!C$352)) + ($J$2-($K$2/_xlfn.STDEV.P('Raw Data'!C$2:'Raw Data'!C$352))*AVERAGE('Raw Data'!C$2:'Raw Data'!C$352))</f>
        <v>60.529001280129961</v>
      </c>
      <c r="D299" s="52">
        <f ca="1">'Raw Data'!D299*($K$2/_xlfn.STDEV.P('Raw Data'!D$2:'Raw Data'!D$352)) + ($J$2-($K$2/_xlfn.STDEV.P('Raw Data'!D$2:'Raw Data'!D$352))*AVERAGE('Raw Data'!D$2:'Raw Data'!D$352))</f>
        <v>58.16</v>
      </c>
      <c r="E299" s="52" t="str">
        <f ca="1">IFERROR($J$4+('Raw Data'!H299-MIN('Raw Data'!H$2:'Raw Data'!H$352))*($J$3-$J$4)/(MAX('Raw Data'!H$2:'Raw Data'!H$352)-MIN('Raw Data'!H$2:'Raw Data'!H$352)),"")</f>
        <v/>
      </c>
      <c r="F299" s="52" t="str">
        <f ca="1">IFERROR($J$4+('Raw Data'!I299-MIN('Raw Data'!I$2:'Raw Data'!I$352))*($J$3-$J$4)/(MAX('Raw Data'!I$2:'Raw Data'!I$352)-MIN('Raw Data'!I$2:'Raw Data'!I$352)),"")</f>
        <v/>
      </c>
      <c r="G299" s="52">
        <f ca="1">IF(Bracket!$I$1="Composite",AVERAGE(B299:F299),IF(Bracket!$I$1="Kenpom",B299,IF(Bracket!$I$1="PVA",C299,IF(Bracket!$I$1="Sagarin Predictor",D299,IF(Bracket!$I$1="No Preseason",AVERAGE(B299:D299),"")))))</f>
        <v>59.988989884052522</v>
      </c>
      <c r="H299" s="63">
        <f t="shared" ca="1" si="4"/>
        <v>319</v>
      </c>
      <c r="I299" s="52"/>
      <c r="J299" s="52"/>
      <c r="K299" s="52"/>
    </row>
    <row r="300" spans="1:11" x14ac:dyDescent="0.3">
      <c r="A300" s="52" t="str">
        <f>'Raw Data'!A300</f>
        <v>North Texas</v>
      </c>
      <c r="B300" s="52">
        <f ca="1">'Raw Data'!B300*($K$2/_xlfn.STDEV.P('Raw Data'!B$2:'Raw Data'!B$352)) + ($J$2-($K$2/_xlfn.STDEV.P('Raw Data'!B$2:'Raw Data'!B$352))*AVERAGE('Raw Data'!B$2:'Raw Data'!B$352))</f>
        <v>62.04362992809979</v>
      </c>
      <c r="C300" s="52">
        <f ca="1">'Raw Data'!C300*($K$2/_xlfn.STDEV.P('Raw Data'!C$2:'Raw Data'!C$352)) + ($J$2-($K$2/_xlfn.STDEV.P('Raw Data'!C$2:'Raw Data'!C$352))*AVERAGE('Raw Data'!C$2:'Raw Data'!C$352))</f>
        <v>62.984606733141007</v>
      </c>
      <c r="D300" s="52">
        <f ca="1">'Raw Data'!D300*($K$2/_xlfn.STDEV.P('Raw Data'!D$2:'Raw Data'!D$352)) + ($J$2-($K$2/_xlfn.STDEV.P('Raw Data'!D$2:'Raw Data'!D$352))*AVERAGE('Raw Data'!D$2:'Raw Data'!D$352))</f>
        <v>63.02</v>
      </c>
      <c r="E300" s="52" t="str">
        <f ca="1">IFERROR($J$4+('Raw Data'!H300-MIN('Raw Data'!H$2:'Raw Data'!H$352))*($J$3-$J$4)/(MAX('Raw Data'!H$2:'Raw Data'!H$352)-MIN('Raw Data'!H$2:'Raw Data'!H$352)),"")</f>
        <v/>
      </c>
      <c r="F300" s="52" t="str">
        <f ca="1">IFERROR($J$4+('Raw Data'!I300-MIN('Raw Data'!I$2:'Raw Data'!I$352))*($J$3-$J$4)/(MAX('Raw Data'!I$2:'Raw Data'!I$352)-MIN('Raw Data'!I$2:'Raw Data'!I$352)),"")</f>
        <v/>
      </c>
      <c r="G300" s="52">
        <f ca="1">IF(Bracket!$I$1="Composite",AVERAGE(B300:F300),IF(Bracket!$I$1="Kenpom",B300,IF(Bracket!$I$1="PVA",C300,IF(Bracket!$I$1="Sagarin Predictor",D300,IF(Bracket!$I$1="No Preseason",AVERAGE(B300:D300),"")))))</f>
        <v>62.682745553746933</v>
      </c>
      <c r="H300" s="63">
        <f t="shared" ca="1" si="4"/>
        <v>288</v>
      </c>
      <c r="I300" s="52"/>
      <c r="J300" s="52"/>
      <c r="K300" s="52"/>
    </row>
    <row r="301" spans="1:11" x14ac:dyDescent="0.3">
      <c r="A301" s="52" t="str">
        <f>'Raw Data'!A301</f>
        <v>Alabama A&amp;M</v>
      </c>
      <c r="B301" s="52">
        <f ca="1">'Raw Data'!B301*($K$2/_xlfn.STDEV.P('Raw Data'!B$2:'Raw Data'!B$352)) + ($J$2-($K$2/_xlfn.STDEV.P('Raw Data'!B$2:'Raw Data'!B$352))*AVERAGE('Raw Data'!B$2:'Raw Data'!B$352))</f>
        <v>60.210568271690491</v>
      </c>
      <c r="C301" s="52">
        <f ca="1">'Raw Data'!C301*($K$2/_xlfn.STDEV.P('Raw Data'!C$2:'Raw Data'!C$352)) + ($J$2-($K$2/_xlfn.STDEV.P('Raw Data'!C$2:'Raw Data'!C$352))*AVERAGE('Raw Data'!C$2:'Raw Data'!C$352))</f>
        <v>60.529001280129961</v>
      </c>
      <c r="D301" s="52">
        <f ca="1">'Raw Data'!D301*($K$2/_xlfn.STDEV.P('Raw Data'!D$2:'Raw Data'!D$352)) + ($J$2-($K$2/_xlfn.STDEV.P('Raw Data'!D$2:'Raw Data'!D$352))*AVERAGE('Raw Data'!D$2:'Raw Data'!D$352))</f>
        <v>60.84</v>
      </c>
      <c r="E301" s="52" t="str">
        <f ca="1">IFERROR($J$4+('Raw Data'!H301-MIN('Raw Data'!H$2:'Raw Data'!H$352))*($J$3-$J$4)/(MAX('Raw Data'!H$2:'Raw Data'!H$352)-MIN('Raw Data'!H$2:'Raw Data'!H$352)),"")</f>
        <v/>
      </c>
      <c r="F301" s="52" t="str">
        <f ca="1">IFERROR($J$4+('Raw Data'!I301-MIN('Raw Data'!I$2:'Raw Data'!I$352))*($J$3-$J$4)/(MAX('Raw Data'!I$2:'Raw Data'!I$352)-MIN('Raw Data'!I$2:'Raw Data'!I$352)),"")</f>
        <v/>
      </c>
      <c r="G301" s="52">
        <f ca="1">IF(Bracket!$I$1="Composite",AVERAGE(B301:F301),IF(Bracket!$I$1="Kenpom",B301,IF(Bracket!$I$1="PVA",C301,IF(Bracket!$I$1="Sagarin Predictor",D301,IF(Bracket!$I$1="No Preseason",AVERAGE(B301:D301),"")))))</f>
        <v>60.526523183940149</v>
      </c>
      <c r="H301" s="63">
        <f t="shared" ca="1" si="4"/>
        <v>311</v>
      </c>
      <c r="I301" s="52"/>
      <c r="J301" s="52"/>
      <c r="K301" s="52"/>
    </row>
    <row r="302" spans="1:11" x14ac:dyDescent="0.3">
      <c r="A302" s="52" t="str">
        <f>'Raw Data'!A302</f>
        <v>Stetson</v>
      </c>
      <c r="B302" s="52">
        <f ca="1">'Raw Data'!B302*($K$2/_xlfn.STDEV.P('Raw Data'!B$2:'Raw Data'!B$352)) + ($J$2-($K$2/_xlfn.STDEV.P('Raw Data'!B$2:'Raw Data'!B$352))*AVERAGE('Raw Data'!B$2:'Raw Data'!B$352))</f>
        <v>64.121854151724321</v>
      </c>
      <c r="C302" s="52">
        <f ca="1">'Raw Data'!C302*($K$2/_xlfn.STDEV.P('Raw Data'!C$2:'Raw Data'!C$352)) + ($J$2-($K$2/_xlfn.STDEV.P('Raw Data'!C$2:'Raw Data'!C$352))*AVERAGE('Raw Data'!C$2:'Raw Data'!C$352))</f>
        <v>63.37233390993223</v>
      </c>
      <c r="D302" s="52">
        <f ca="1">'Raw Data'!D302*($K$2/_xlfn.STDEV.P('Raw Data'!D$2:'Raw Data'!D$352)) + ($J$2-($K$2/_xlfn.STDEV.P('Raw Data'!D$2:'Raw Data'!D$352))*AVERAGE('Raw Data'!D$2:'Raw Data'!D$352))</f>
        <v>62.45</v>
      </c>
      <c r="E302" s="52" t="str">
        <f ca="1">IFERROR($J$4+('Raw Data'!H302-MIN('Raw Data'!H$2:'Raw Data'!H$352))*($J$3-$J$4)/(MAX('Raw Data'!H$2:'Raw Data'!H$352)-MIN('Raw Data'!H$2:'Raw Data'!H$352)),"")</f>
        <v/>
      </c>
      <c r="F302" s="52" t="str">
        <f ca="1">IFERROR($J$4+('Raw Data'!I302-MIN('Raw Data'!I$2:'Raw Data'!I$352))*($J$3-$J$4)/(MAX('Raw Data'!I$2:'Raw Data'!I$352)-MIN('Raw Data'!I$2:'Raw Data'!I$352)),"")</f>
        <v/>
      </c>
      <c r="G302" s="52">
        <f ca="1">IF(Bracket!$I$1="Composite",AVERAGE(B302:F302),IF(Bracket!$I$1="Kenpom",B302,IF(Bracket!$I$1="PVA",C302,IF(Bracket!$I$1="Sagarin Predictor",D302,IF(Bracket!$I$1="No Preseason",AVERAGE(B302:D302),"")))))</f>
        <v>63.314729353885525</v>
      </c>
      <c r="H302" s="63">
        <f t="shared" ca="1" si="4"/>
        <v>282</v>
      </c>
      <c r="I302" s="52"/>
      <c r="J302" s="52"/>
      <c r="K302" s="52"/>
    </row>
    <row r="303" spans="1:11" x14ac:dyDescent="0.3">
      <c r="A303" s="52" t="str">
        <f>'Raw Data'!A303</f>
        <v>Morgan State</v>
      </c>
      <c r="B303" s="52">
        <f ca="1">'Raw Data'!B303*($K$2/_xlfn.STDEV.P('Raw Data'!B$2:'Raw Data'!B$352)) + ($J$2-($K$2/_xlfn.STDEV.P('Raw Data'!B$2:'Raw Data'!B$352))*AVERAGE('Raw Data'!B$2:'Raw Data'!B$352))</f>
        <v>60.772556310383877</v>
      </c>
      <c r="C303" s="52">
        <f ca="1">'Raw Data'!C303*($K$2/_xlfn.STDEV.P('Raw Data'!C$2:'Raw Data'!C$352)) + ($J$2-($K$2/_xlfn.STDEV.P('Raw Data'!C$2:'Raw Data'!C$352))*AVERAGE('Raw Data'!C$2:'Raw Data'!C$352))</f>
        <v>60.658243672393695</v>
      </c>
      <c r="D303" s="52">
        <f ca="1">'Raw Data'!D303*($K$2/_xlfn.STDEV.P('Raw Data'!D$2:'Raw Data'!D$352)) + ($J$2-($K$2/_xlfn.STDEV.P('Raw Data'!D$2:'Raw Data'!D$352))*AVERAGE('Raw Data'!D$2:'Raw Data'!D$352))</f>
        <v>61.63</v>
      </c>
      <c r="E303" s="52" t="str">
        <f ca="1">IFERROR($J$4+('Raw Data'!H303-MIN('Raw Data'!H$2:'Raw Data'!H$352))*($J$3-$J$4)/(MAX('Raw Data'!H$2:'Raw Data'!H$352)-MIN('Raw Data'!H$2:'Raw Data'!H$352)),"")</f>
        <v/>
      </c>
      <c r="F303" s="52" t="str">
        <f ca="1">IFERROR($J$4+('Raw Data'!I303-MIN('Raw Data'!I$2:'Raw Data'!I$352))*($J$3-$J$4)/(MAX('Raw Data'!I$2:'Raw Data'!I$352)-MIN('Raw Data'!I$2:'Raw Data'!I$352)),"")</f>
        <v/>
      </c>
      <c r="G303" s="52">
        <f ca="1">IF(Bracket!$I$1="Composite",AVERAGE(B303:F303),IF(Bracket!$I$1="Kenpom",B303,IF(Bracket!$I$1="PVA",C303,IF(Bracket!$I$1="Sagarin Predictor",D303,IF(Bracket!$I$1="No Preseason",AVERAGE(B303:D303),"")))))</f>
        <v>61.020266660925863</v>
      </c>
      <c r="H303" s="63">
        <f t="shared" ca="1" si="4"/>
        <v>305</v>
      </c>
      <c r="I303" s="52"/>
      <c r="J303" s="52"/>
      <c r="K303" s="52"/>
    </row>
    <row r="304" spans="1:11" x14ac:dyDescent="0.3">
      <c r="A304" s="52" t="str">
        <f>'Raw Data'!A304</f>
        <v>Jacksonville St</v>
      </c>
      <c r="B304" s="52">
        <f ca="1">'Raw Data'!B304*($K$2/_xlfn.STDEV.P('Raw Data'!B$2:'Raw Data'!B$352)) + ($J$2-($K$2/_xlfn.STDEV.P('Raw Data'!B$2:'Raw Data'!B$352))*AVERAGE('Raw Data'!B$2:'Raw Data'!B$352))</f>
        <v>60.847990946450103</v>
      </c>
      <c r="C304" s="52">
        <f ca="1">'Raw Data'!C304*($K$2/_xlfn.STDEV.P('Raw Data'!C$2:'Raw Data'!C$352)) + ($J$2-($K$2/_xlfn.STDEV.P('Raw Data'!C$2:'Raw Data'!C$352))*AVERAGE('Raw Data'!C$2:'Raw Data'!C$352))</f>
        <v>61.821425202767358</v>
      </c>
      <c r="D304" s="52">
        <f ca="1">'Raw Data'!D304*($K$2/_xlfn.STDEV.P('Raw Data'!D$2:'Raw Data'!D$352)) + ($J$2-($K$2/_xlfn.STDEV.P('Raw Data'!D$2:'Raw Data'!D$352))*AVERAGE('Raw Data'!D$2:'Raw Data'!D$352))</f>
        <v>62.57</v>
      </c>
      <c r="E304" s="52" t="str">
        <f ca="1">IFERROR($J$4+('Raw Data'!H304-MIN('Raw Data'!H$2:'Raw Data'!H$352))*($J$3-$J$4)/(MAX('Raw Data'!H$2:'Raw Data'!H$352)-MIN('Raw Data'!H$2:'Raw Data'!H$352)),"")</f>
        <v/>
      </c>
      <c r="F304" s="52" t="str">
        <f ca="1">IFERROR($J$4+('Raw Data'!I304-MIN('Raw Data'!I$2:'Raw Data'!I$352))*($J$3-$J$4)/(MAX('Raw Data'!I$2:'Raw Data'!I$352)-MIN('Raw Data'!I$2:'Raw Data'!I$352)),"")</f>
        <v/>
      </c>
      <c r="G304" s="52">
        <f ca="1">IF(Bracket!$I$1="Composite",AVERAGE(B304:F304),IF(Bracket!$I$1="Kenpom",B304,IF(Bracket!$I$1="PVA",C304,IF(Bracket!$I$1="Sagarin Predictor",D304,IF(Bracket!$I$1="No Preseason",AVERAGE(B304:D304),"")))))</f>
        <v>61.746472049739147</v>
      </c>
      <c r="H304" s="63">
        <f t="shared" ca="1" si="4"/>
        <v>298</v>
      </c>
      <c r="I304" s="52"/>
      <c r="J304" s="52"/>
      <c r="K304" s="52"/>
    </row>
    <row r="305" spans="1:11" x14ac:dyDescent="0.3">
      <c r="A305" s="52" t="str">
        <f>'Raw Data'!A305</f>
        <v>Florida Atlantic</v>
      </c>
      <c r="B305" s="52">
        <f ca="1">'Raw Data'!B305*($K$2/_xlfn.STDEV.P('Raw Data'!B$2:'Raw Data'!B$352)) + ($J$2-($K$2/_xlfn.STDEV.P('Raw Data'!B$2:'Raw Data'!B$352))*AVERAGE('Raw Data'!B$2:'Raw Data'!B$352))</f>
        <v>61.221392394977926</v>
      </c>
      <c r="C305" s="52">
        <f ca="1">'Raw Data'!C305*($K$2/_xlfn.STDEV.P('Raw Data'!C$2:'Raw Data'!C$352)) + ($J$2-($K$2/_xlfn.STDEV.P('Raw Data'!C$2:'Raw Data'!C$352))*AVERAGE('Raw Data'!C$2:'Raw Data'!C$352))</f>
        <v>60.916728456921177</v>
      </c>
      <c r="D305" s="52">
        <f ca="1">'Raw Data'!D305*($K$2/_xlfn.STDEV.P('Raw Data'!D$2:'Raw Data'!D$352)) + ($J$2-($K$2/_xlfn.STDEV.P('Raw Data'!D$2:'Raw Data'!D$352))*AVERAGE('Raw Data'!D$2:'Raw Data'!D$352))</f>
        <v>62.88</v>
      </c>
      <c r="E305" s="52" t="str">
        <f ca="1">IFERROR($J$4+('Raw Data'!H305-MIN('Raw Data'!H$2:'Raw Data'!H$352))*($J$3-$J$4)/(MAX('Raw Data'!H$2:'Raw Data'!H$352)-MIN('Raw Data'!H$2:'Raw Data'!H$352)),"")</f>
        <v/>
      </c>
      <c r="F305" s="52" t="str">
        <f ca="1">IFERROR($J$4+('Raw Data'!I305-MIN('Raw Data'!I$2:'Raw Data'!I$352))*($J$3-$J$4)/(MAX('Raw Data'!I$2:'Raw Data'!I$352)-MIN('Raw Data'!I$2:'Raw Data'!I$352)),"")</f>
        <v/>
      </c>
      <c r="G305" s="52">
        <f ca="1">IF(Bracket!$I$1="Composite",AVERAGE(B305:F305),IF(Bracket!$I$1="Kenpom",B305,IF(Bracket!$I$1="PVA",C305,IF(Bracket!$I$1="Sagarin Predictor",D305,IF(Bracket!$I$1="No Preseason",AVERAGE(B305:D305),"")))))</f>
        <v>61.672706950633035</v>
      </c>
      <c r="H305" s="63">
        <f t="shared" ca="1" si="4"/>
        <v>300</v>
      </c>
      <c r="I305" s="52"/>
      <c r="J305" s="52"/>
      <c r="K305" s="52"/>
    </row>
    <row r="306" spans="1:11" x14ac:dyDescent="0.3">
      <c r="A306" s="52" t="str">
        <f>'Raw Data'!A306</f>
        <v>Central Arkansas</v>
      </c>
      <c r="B306" s="52">
        <f ca="1">'Raw Data'!B306*($K$2/_xlfn.STDEV.P('Raw Data'!B$2:'Raw Data'!B$352)) + ($J$2-($K$2/_xlfn.STDEV.P('Raw Data'!B$2:'Raw Data'!B$352))*AVERAGE('Raw Data'!B$2:'Raw Data'!B$352))</f>
        <v>59.290265711682537</v>
      </c>
      <c r="C306" s="52">
        <f ca="1">'Raw Data'!C306*($K$2/_xlfn.STDEV.P('Raw Data'!C$2:'Raw Data'!C$352)) + ($J$2-($K$2/_xlfn.STDEV.P('Raw Data'!C$2:'Raw Data'!C$352))*AVERAGE('Raw Data'!C$2:'Raw Data'!C$352))</f>
        <v>60.141274103338738</v>
      </c>
      <c r="D306" s="52">
        <f ca="1">'Raw Data'!D306*($K$2/_xlfn.STDEV.P('Raw Data'!D$2:'Raw Data'!D$352)) + ($J$2-($K$2/_xlfn.STDEV.P('Raw Data'!D$2:'Raw Data'!D$352))*AVERAGE('Raw Data'!D$2:'Raw Data'!D$352))</f>
        <v>59</v>
      </c>
      <c r="E306" s="52" t="str">
        <f ca="1">IFERROR($J$4+('Raw Data'!H306-MIN('Raw Data'!H$2:'Raw Data'!H$352))*($J$3-$J$4)/(MAX('Raw Data'!H$2:'Raw Data'!H$352)-MIN('Raw Data'!H$2:'Raw Data'!H$352)),"")</f>
        <v/>
      </c>
      <c r="F306" s="52" t="str">
        <f ca="1">IFERROR($J$4+('Raw Data'!I306-MIN('Raw Data'!I$2:'Raw Data'!I$352))*($J$3-$J$4)/(MAX('Raw Data'!I$2:'Raw Data'!I$352)-MIN('Raw Data'!I$2:'Raw Data'!I$352)),"")</f>
        <v/>
      </c>
      <c r="G306" s="52">
        <f ca="1">IF(Bracket!$I$1="Composite",AVERAGE(B306:F306),IF(Bracket!$I$1="Kenpom",B306,IF(Bracket!$I$1="PVA",C306,IF(Bracket!$I$1="Sagarin Predictor",D306,IF(Bracket!$I$1="No Preseason",AVERAGE(B306:D306),"")))))</f>
        <v>59.47717993834042</v>
      </c>
      <c r="H306" s="63">
        <f t="shared" ca="1" si="4"/>
        <v>325</v>
      </c>
      <c r="I306" s="52"/>
      <c r="J306" s="52"/>
      <c r="K306" s="52"/>
    </row>
    <row r="307" spans="1:11" x14ac:dyDescent="0.3">
      <c r="A307" s="52" t="str">
        <f>'Raw Data'!A307</f>
        <v>Robert Morris</v>
      </c>
      <c r="B307" s="52">
        <f ca="1">'Raw Data'!B307*($K$2/_xlfn.STDEV.P('Raw Data'!B$2:'Raw Data'!B$352)) + ($J$2-($K$2/_xlfn.STDEV.P('Raw Data'!B$2:'Raw Data'!B$352))*AVERAGE('Raw Data'!B$2:'Raw Data'!B$352))</f>
        <v>60.80273016481037</v>
      </c>
      <c r="C307" s="52">
        <f ca="1">'Raw Data'!C307*($K$2/_xlfn.STDEV.P('Raw Data'!C$2:'Raw Data'!C$352)) + ($J$2-($K$2/_xlfn.STDEV.P('Raw Data'!C$2:'Raw Data'!C$352))*AVERAGE('Raw Data'!C$2:'Raw Data'!C$352))</f>
        <v>61.304455633712394</v>
      </c>
      <c r="D307" s="52">
        <f ca="1">'Raw Data'!D307*($K$2/_xlfn.STDEV.P('Raw Data'!D$2:'Raw Data'!D$352)) + ($J$2-($K$2/_xlfn.STDEV.P('Raw Data'!D$2:'Raw Data'!D$352))*AVERAGE('Raw Data'!D$2:'Raw Data'!D$352))</f>
        <v>61.42</v>
      </c>
      <c r="E307" s="52" t="str">
        <f ca="1">IFERROR($J$4+('Raw Data'!H307-MIN('Raw Data'!H$2:'Raw Data'!H$352))*($J$3-$J$4)/(MAX('Raw Data'!H$2:'Raw Data'!H$352)-MIN('Raw Data'!H$2:'Raw Data'!H$352)),"")</f>
        <v/>
      </c>
      <c r="F307" s="52" t="str">
        <f ca="1">IFERROR($J$4+('Raw Data'!I307-MIN('Raw Data'!I$2:'Raw Data'!I$352))*($J$3-$J$4)/(MAX('Raw Data'!I$2:'Raw Data'!I$352)-MIN('Raw Data'!I$2:'Raw Data'!I$352)),"")</f>
        <v/>
      </c>
      <c r="G307" s="52">
        <f ca="1">IF(Bracket!$I$1="Composite",AVERAGE(B307:F307),IF(Bracket!$I$1="Kenpom",B307,IF(Bracket!$I$1="PVA",C307,IF(Bracket!$I$1="Sagarin Predictor",D307,IF(Bracket!$I$1="No Preseason",AVERAGE(B307:D307),"")))))</f>
        <v>61.175728599507586</v>
      </c>
      <c r="H307" s="63">
        <f t="shared" ca="1" si="4"/>
        <v>304</v>
      </c>
      <c r="I307" s="52"/>
      <c r="J307" s="52"/>
      <c r="K307" s="52"/>
    </row>
    <row r="308" spans="1:11" x14ac:dyDescent="0.3">
      <c r="A308" s="52" t="str">
        <f>'Raw Data'!A308</f>
        <v>Rutgers</v>
      </c>
      <c r="B308" s="52">
        <f ca="1">'Raw Data'!B308*($K$2/_xlfn.STDEV.P('Raw Data'!B$2:'Raw Data'!B$352)) + ($J$2-($K$2/_xlfn.STDEV.P('Raw Data'!B$2:'Raw Data'!B$352))*AVERAGE('Raw Data'!B$2:'Raw Data'!B$352))</f>
        <v>61.707945797605085</v>
      </c>
      <c r="C308" s="52">
        <f ca="1">'Raw Data'!C308*($K$2/_xlfn.STDEV.P('Raw Data'!C$2:'Raw Data'!C$352)) + ($J$2-($K$2/_xlfn.STDEV.P('Raw Data'!C$2:'Raw Data'!C$352))*AVERAGE('Raw Data'!C$2:'Raw Data'!C$352))</f>
        <v>64.794000224833368</v>
      </c>
      <c r="D308" s="52">
        <f ca="1">'Raw Data'!D308*($K$2/_xlfn.STDEV.P('Raw Data'!D$2:'Raw Data'!D$352)) + ($J$2-($K$2/_xlfn.STDEV.P('Raw Data'!D$2:'Raw Data'!D$352))*AVERAGE('Raw Data'!D$2:'Raw Data'!D$352))</f>
        <v>64.17</v>
      </c>
      <c r="E308" s="52" t="str">
        <f ca="1">IFERROR($J$4+('Raw Data'!H308-MIN('Raw Data'!H$2:'Raw Data'!H$352))*($J$3-$J$4)/(MAX('Raw Data'!H$2:'Raw Data'!H$352)-MIN('Raw Data'!H$2:'Raw Data'!H$352)),"")</f>
        <v/>
      </c>
      <c r="F308" s="52" t="str">
        <f ca="1">IFERROR($J$4+('Raw Data'!I308-MIN('Raw Data'!I$2:'Raw Data'!I$352))*($J$3-$J$4)/(MAX('Raw Data'!I$2:'Raw Data'!I$352)-MIN('Raw Data'!I$2:'Raw Data'!I$352)),"")</f>
        <v/>
      </c>
      <c r="G308" s="52">
        <f ca="1">IF(Bracket!$I$1="Composite",AVERAGE(B308:F308),IF(Bracket!$I$1="Kenpom",B308,IF(Bracket!$I$1="PVA",C308,IF(Bracket!$I$1="Sagarin Predictor",D308,IF(Bracket!$I$1="No Preseason",AVERAGE(B308:D308),"")))))</f>
        <v>63.557315340812828</v>
      </c>
      <c r="H308" s="63">
        <f t="shared" ca="1" si="4"/>
        <v>276</v>
      </c>
      <c r="I308" s="52"/>
      <c r="J308" s="52"/>
      <c r="K308" s="52"/>
    </row>
    <row r="309" spans="1:11" x14ac:dyDescent="0.3">
      <c r="A309" s="52" t="str">
        <f>'Raw Data'!A309</f>
        <v>VMI</v>
      </c>
      <c r="B309" s="52">
        <f ca="1">'Raw Data'!B309*($K$2/_xlfn.STDEV.P('Raw Data'!B$2:'Raw Data'!B$352)) + ($J$2-($K$2/_xlfn.STDEV.P('Raw Data'!B$2:'Raw Data'!B$352))*AVERAGE('Raw Data'!B$2:'Raw Data'!B$352))</f>
        <v>60.798958433007058</v>
      </c>
      <c r="C309" s="52">
        <f ca="1">'Raw Data'!C309*($K$2/_xlfn.STDEV.P('Raw Data'!C$2:'Raw Data'!C$352)) + ($J$2-($K$2/_xlfn.STDEV.P('Raw Data'!C$2:'Raw Data'!C$352))*AVERAGE('Raw Data'!C$2:'Raw Data'!C$352))</f>
        <v>61.304455633712394</v>
      </c>
      <c r="D309" s="52">
        <f ca="1">'Raw Data'!D309*($K$2/_xlfn.STDEV.P('Raw Data'!D$2:'Raw Data'!D$352)) + ($J$2-($K$2/_xlfn.STDEV.P('Raw Data'!D$2:'Raw Data'!D$352))*AVERAGE('Raw Data'!D$2:'Raw Data'!D$352))</f>
        <v>60.06</v>
      </c>
      <c r="E309" s="52" t="str">
        <f ca="1">IFERROR($J$4+('Raw Data'!H309-MIN('Raw Data'!H$2:'Raw Data'!H$352))*($J$3-$J$4)/(MAX('Raw Data'!H$2:'Raw Data'!H$352)-MIN('Raw Data'!H$2:'Raw Data'!H$352)),"")</f>
        <v/>
      </c>
      <c r="F309" s="52" t="str">
        <f ca="1">IFERROR($J$4+('Raw Data'!I309-MIN('Raw Data'!I$2:'Raw Data'!I$352))*($J$3-$J$4)/(MAX('Raw Data'!I$2:'Raw Data'!I$352)-MIN('Raw Data'!I$2:'Raw Data'!I$352)),"")</f>
        <v/>
      </c>
      <c r="G309" s="52">
        <f ca="1">IF(Bracket!$I$1="Composite",AVERAGE(B309:F309),IF(Bracket!$I$1="Kenpom",B309,IF(Bracket!$I$1="PVA",C309,IF(Bracket!$I$1="Sagarin Predictor",D309,IF(Bracket!$I$1="No Preseason",AVERAGE(B309:D309),"")))))</f>
        <v>60.721138022239813</v>
      </c>
      <c r="H309" s="63">
        <f t="shared" ca="1" si="4"/>
        <v>309</v>
      </c>
      <c r="I309" s="52"/>
      <c r="J309" s="52"/>
      <c r="K309" s="52"/>
    </row>
    <row r="310" spans="1:11" x14ac:dyDescent="0.3">
      <c r="A310" s="52" t="str">
        <f>'Raw Data'!A310</f>
        <v>Savannah State</v>
      </c>
      <c r="B310" s="52">
        <f ca="1">'Raw Data'!B310*($K$2/_xlfn.STDEV.P('Raw Data'!B$2:'Raw Data'!B$352)) + ($J$2-($K$2/_xlfn.STDEV.P('Raw Data'!B$2:'Raw Data'!B$352))*AVERAGE('Raw Data'!B$2:'Raw Data'!B$352))</f>
        <v>59.414732861191808</v>
      </c>
      <c r="C310" s="52">
        <f ca="1">'Raw Data'!C310*($K$2/_xlfn.STDEV.P('Raw Data'!C$2:'Raw Data'!C$352)) + ($J$2-($K$2/_xlfn.STDEV.P('Raw Data'!C$2:'Raw Data'!C$352))*AVERAGE('Raw Data'!C$2:'Raw Data'!C$352))</f>
        <v>61.433698025976135</v>
      </c>
      <c r="D310" s="52">
        <f ca="1">'Raw Data'!D310*($K$2/_xlfn.STDEV.P('Raw Data'!D$2:'Raw Data'!D$352)) + ($J$2-($K$2/_xlfn.STDEV.P('Raw Data'!D$2:'Raw Data'!D$352))*AVERAGE('Raw Data'!D$2:'Raw Data'!D$352))</f>
        <v>58.17</v>
      </c>
      <c r="E310" s="52" t="str">
        <f ca="1">IFERROR($J$4+('Raw Data'!H310-MIN('Raw Data'!H$2:'Raw Data'!H$352))*($J$3-$J$4)/(MAX('Raw Data'!H$2:'Raw Data'!H$352)-MIN('Raw Data'!H$2:'Raw Data'!H$352)),"")</f>
        <v/>
      </c>
      <c r="F310" s="52" t="str">
        <f ca="1">IFERROR($J$4+('Raw Data'!I310-MIN('Raw Data'!I$2:'Raw Data'!I$352))*($J$3-$J$4)/(MAX('Raw Data'!I$2:'Raw Data'!I$352)-MIN('Raw Data'!I$2:'Raw Data'!I$352)),"")</f>
        <v/>
      </c>
      <c r="G310" s="52">
        <f ca="1">IF(Bracket!$I$1="Composite",AVERAGE(B310:F310),IF(Bracket!$I$1="Kenpom",B310,IF(Bracket!$I$1="PVA",C310,IF(Bracket!$I$1="Sagarin Predictor",D310,IF(Bracket!$I$1="No Preseason",AVERAGE(B310:D310),"")))))</f>
        <v>59.672810295722648</v>
      </c>
      <c r="H310" s="63">
        <f t="shared" ca="1" si="4"/>
        <v>323</v>
      </c>
      <c r="I310" s="52"/>
      <c r="J310" s="52"/>
      <c r="K310" s="52"/>
    </row>
    <row r="311" spans="1:11" x14ac:dyDescent="0.3">
      <c r="A311" s="52" t="str">
        <f>'Raw Data'!A311</f>
        <v>SE Louisiana</v>
      </c>
      <c r="B311" s="52">
        <f ca="1">'Raw Data'!B311*($K$2/_xlfn.STDEV.P('Raw Data'!B$2:'Raw Data'!B$352)) + ($J$2-($K$2/_xlfn.STDEV.P('Raw Data'!B$2:'Raw Data'!B$352))*AVERAGE('Raw Data'!B$2:'Raw Data'!B$352))</f>
        <v>60.161535758247446</v>
      </c>
      <c r="C311" s="52">
        <f ca="1">'Raw Data'!C311*($K$2/_xlfn.STDEV.P('Raw Data'!C$2:'Raw Data'!C$352)) + ($J$2-($K$2/_xlfn.STDEV.P('Raw Data'!C$2:'Raw Data'!C$352))*AVERAGE('Raw Data'!C$2:'Raw Data'!C$352))</f>
        <v>60.529001280129961</v>
      </c>
      <c r="D311" s="52">
        <f ca="1">'Raw Data'!D311*($K$2/_xlfn.STDEV.P('Raw Data'!D$2:'Raw Data'!D$352)) + ($J$2-($K$2/_xlfn.STDEV.P('Raw Data'!D$2:'Raw Data'!D$352))*AVERAGE('Raw Data'!D$2:'Raw Data'!D$352))</f>
        <v>60.71</v>
      </c>
      <c r="E311" s="52" t="str">
        <f ca="1">IFERROR($J$4+('Raw Data'!H311-MIN('Raw Data'!H$2:'Raw Data'!H$352))*($J$3-$J$4)/(MAX('Raw Data'!H$2:'Raw Data'!H$352)-MIN('Raw Data'!H$2:'Raw Data'!H$352)),"")</f>
        <v/>
      </c>
      <c r="F311" s="52" t="str">
        <f ca="1">IFERROR($J$4+('Raw Data'!I311-MIN('Raw Data'!I$2:'Raw Data'!I$352))*($J$3-$J$4)/(MAX('Raw Data'!I$2:'Raw Data'!I$352)-MIN('Raw Data'!I$2:'Raw Data'!I$352)),"")</f>
        <v/>
      </c>
      <c r="G311" s="52">
        <f ca="1">IF(Bracket!$I$1="Composite",AVERAGE(B311:F311),IF(Bracket!$I$1="Kenpom",B311,IF(Bracket!$I$1="PVA",C311,IF(Bracket!$I$1="Sagarin Predictor",D311,IF(Bracket!$I$1="No Preseason",AVERAGE(B311:D311),"")))))</f>
        <v>60.466845679459141</v>
      </c>
      <c r="H311" s="63">
        <f t="shared" ca="1" si="4"/>
        <v>312</v>
      </c>
      <c r="I311" s="52"/>
      <c r="J311" s="52"/>
      <c r="K311" s="52"/>
    </row>
    <row r="312" spans="1:11" x14ac:dyDescent="0.3">
      <c r="A312" s="52" t="str">
        <f>'Raw Data'!A312</f>
        <v>New Orleans</v>
      </c>
      <c r="B312" s="52">
        <f ca="1">'Raw Data'!B312*($K$2/_xlfn.STDEV.P('Raw Data'!B$2:'Raw Data'!B$352)) + ($J$2-($K$2/_xlfn.STDEV.P('Raw Data'!B$2:'Raw Data'!B$352))*AVERAGE('Raw Data'!B$2:'Raw Data'!B$352))</f>
        <v>59.822079895949429</v>
      </c>
      <c r="C312" s="52">
        <f ca="1">'Raw Data'!C312*($K$2/_xlfn.STDEV.P('Raw Data'!C$2:'Raw Data'!C$352)) + ($J$2-($K$2/_xlfn.STDEV.P('Raw Data'!C$2:'Raw Data'!C$352))*AVERAGE('Raw Data'!C$2:'Raw Data'!C$352))</f>
        <v>60.787486064657436</v>
      </c>
      <c r="D312" s="52">
        <f ca="1">'Raw Data'!D312*($K$2/_xlfn.STDEV.P('Raw Data'!D$2:'Raw Data'!D$352)) + ($J$2-($K$2/_xlfn.STDEV.P('Raw Data'!D$2:'Raw Data'!D$352))*AVERAGE('Raw Data'!D$2:'Raw Data'!D$352))</f>
        <v>60.52</v>
      </c>
      <c r="E312" s="52" t="str">
        <f ca="1">IFERROR($J$4+('Raw Data'!H312-MIN('Raw Data'!H$2:'Raw Data'!H$352))*($J$3-$J$4)/(MAX('Raw Data'!H$2:'Raw Data'!H$352)-MIN('Raw Data'!H$2:'Raw Data'!H$352)),"")</f>
        <v/>
      </c>
      <c r="F312" s="52" t="str">
        <f ca="1">IFERROR($J$4+('Raw Data'!I312-MIN('Raw Data'!I$2:'Raw Data'!I$352))*($J$3-$J$4)/(MAX('Raw Data'!I$2:'Raw Data'!I$352)-MIN('Raw Data'!I$2:'Raw Data'!I$352)),"")</f>
        <v/>
      </c>
      <c r="G312" s="52">
        <f ca="1">IF(Bracket!$I$1="Composite",AVERAGE(B312:F312),IF(Bracket!$I$1="Kenpom",B312,IF(Bracket!$I$1="PVA",C312,IF(Bracket!$I$1="Sagarin Predictor",D312,IF(Bracket!$I$1="No Preseason",AVERAGE(B312:D312),"")))))</f>
        <v>60.376521986868958</v>
      </c>
      <c r="H312" s="63">
        <f t="shared" ca="1" si="4"/>
        <v>313</v>
      </c>
      <c r="I312" s="52"/>
      <c r="J312" s="52"/>
      <c r="K312" s="52"/>
    </row>
    <row r="313" spans="1:11" x14ac:dyDescent="0.3">
      <c r="A313" s="52" t="str">
        <f>'Raw Data'!A313</f>
        <v>UMass Lowell</v>
      </c>
      <c r="B313" s="52">
        <f ca="1">'Raw Data'!B313*($K$2/_xlfn.STDEV.P('Raw Data'!B$2:'Raw Data'!B$352)) + ($J$2-($K$2/_xlfn.STDEV.P('Raw Data'!B$2:'Raw Data'!B$352))*AVERAGE('Raw Data'!B$2:'Raw Data'!B$352))</f>
        <v>60.68203474710441</v>
      </c>
      <c r="C313" s="52">
        <f ca="1">'Raw Data'!C313*($K$2/_xlfn.STDEV.P('Raw Data'!C$2:'Raw Data'!C$352)) + ($J$2-($K$2/_xlfn.STDEV.P('Raw Data'!C$2:'Raw Data'!C$352))*AVERAGE('Raw Data'!C$2:'Raw Data'!C$352))</f>
        <v>59.882789318811263</v>
      </c>
      <c r="D313" s="52">
        <f ca="1">'Raw Data'!D313*($K$2/_xlfn.STDEV.P('Raw Data'!D$2:'Raw Data'!D$352)) + ($J$2-($K$2/_xlfn.STDEV.P('Raw Data'!D$2:'Raw Data'!D$352))*AVERAGE('Raw Data'!D$2:'Raw Data'!D$352))</f>
        <v>60.53</v>
      </c>
      <c r="E313" s="52" t="str">
        <f ca="1">IFERROR($J$4+('Raw Data'!H313-MIN('Raw Data'!H$2:'Raw Data'!H$352))*($J$3-$J$4)/(MAX('Raw Data'!H$2:'Raw Data'!H$352)-MIN('Raw Data'!H$2:'Raw Data'!H$352)),"")</f>
        <v/>
      </c>
      <c r="F313" s="52" t="str">
        <f ca="1">IFERROR($J$4+('Raw Data'!I313-MIN('Raw Data'!I$2:'Raw Data'!I$352))*($J$3-$J$4)/(MAX('Raw Data'!I$2:'Raw Data'!I$352)-MIN('Raw Data'!I$2:'Raw Data'!I$352)),"")</f>
        <v/>
      </c>
      <c r="G313" s="52">
        <f ca="1">IF(Bracket!$I$1="Composite",AVERAGE(B313:F313),IF(Bracket!$I$1="Kenpom",B313,IF(Bracket!$I$1="PVA",C313,IF(Bracket!$I$1="Sagarin Predictor",D313,IF(Bracket!$I$1="No Preseason",AVERAGE(B313:D313),"")))))</f>
        <v>60.364941355305227</v>
      </c>
      <c r="H313" s="63">
        <f t="shared" ca="1" si="4"/>
        <v>314</v>
      </c>
      <c r="I313" s="52"/>
      <c r="J313" s="52"/>
      <c r="K313" s="52"/>
    </row>
    <row r="314" spans="1:11" x14ac:dyDescent="0.3">
      <c r="A314" s="52" t="str">
        <f>'Raw Data'!A314</f>
        <v>The Citadel</v>
      </c>
      <c r="B314" s="52">
        <f ca="1">'Raw Data'!B314*($K$2/_xlfn.STDEV.P('Raw Data'!B$2:'Raw Data'!B$352)) + ($J$2-($K$2/_xlfn.STDEV.P('Raw Data'!B$2:'Raw Data'!B$352))*AVERAGE('Raw Data'!B$2:'Raw Data'!B$352))</f>
        <v>60.436872179889171</v>
      </c>
      <c r="C314" s="52">
        <f ca="1">'Raw Data'!C314*($K$2/_xlfn.STDEV.P('Raw Data'!C$2:'Raw Data'!C$352)) + ($J$2-($K$2/_xlfn.STDEV.P('Raw Data'!C$2:'Raw Data'!C$352))*AVERAGE('Raw Data'!C$2:'Raw Data'!C$352))</f>
        <v>60.529001280129961</v>
      </c>
      <c r="D314" s="52">
        <f ca="1">'Raw Data'!D314*($K$2/_xlfn.STDEV.P('Raw Data'!D$2:'Raw Data'!D$352)) + ($J$2-($K$2/_xlfn.STDEV.P('Raw Data'!D$2:'Raw Data'!D$352))*AVERAGE('Raw Data'!D$2:'Raw Data'!D$352))</f>
        <v>58.24</v>
      </c>
      <c r="E314" s="52" t="str">
        <f ca="1">IFERROR($J$4+('Raw Data'!H314-MIN('Raw Data'!H$2:'Raw Data'!H$352))*($J$3-$J$4)/(MAX('Raw Data'!H$2:'Raw Data'!H$352)-MIN('Raw Data'!H$2:'Raw Data'!H$352)),"")</f>
        <v/>
      </c>
      <c r="F314" s="52" t="str">
        <f ca="1">IFERROR($J$4+('Raw Data'!I314-MIN('Raw Data'!I$2:'Raw Data'!I$352))*($J$3-$J$4)/(MAX('Raw Data'!I$2:'Raw Data'!I$352)-MIN('Raw Data'!I$2:'Raw Data'!I$352)),"")</f>
        <v/>
      </c>
      <c r="G314" s="52">
        <f ca="1">IF(Bracket!$I$1="Composite",AVERAGE(B314:F314),IF(Bracket!$I$1="Kenpom",B314,IF(Bracket!$I$1="PVA",C314,IF(Bracket!$I$1="Sagarin Predictor",D314,IF(Bracket!$I$1="No Preseason",AVERAGE(B314:D314),"")))))</f>
        <v>59.735291153339716</v>
      </c>
      <c r="H314" s="63">
        <f t="shared" ca="1" si="4"/>
        <v>320</v>
      </c>
      <c r="I314" s="52"/>
      <c r="J314" s="52"/>
      <c r="K314" s="52"/>
    </row>
    <row r="315" spans="1:11" x14ac:dyDescent="0.3">
      <c r="A315" s="52" t="str">
        <f>'Raw Data'!A315</f>
        <v>Lamar</v>
      </c>
      <c r="B315" s="52">
        <f ca="1">'Raw Data'!B315*($K$2/_xlfn.STDEV.P('Raw Data'!B$2:'Raw Data'!B$352)) + ($J$2-($K$2/_xlfn.STDEV.P('Raw Data'!B$2:'Raw Data'!B$352))*AVERAGE('Raw Data'!B$2:'Raw Data'!B$352))</f>
        <v>59.769275650703072</v>
      </c>
      <c r="C315" s="52">
        <f ca="1">'Raw Data'!C315*($K$2/_xlfn.STDEV.P('Raw Data'!C$2:'Raw Data'!C$352)) + ($J$2-($K$2/_xlfn.STDEV.P('Raw Data'!C$2:'Raw Data'!C$352))*AVERAGE('Raw Data'!C$2:'Raw Data'!C$352))</f>
        <v>61.433698025976135</v>
      </c>
      <c r="D315" s="52">
        <f ca="1">'Raw Data'!D315*($K$2/_xlfn.STDEV.P('Raw Data'!D$2:'Raw Data'!D$352)) + ($J$2-($K$2/_xlfn.STDEV.P('Raw Data'!D$2:'Raw Data'!D$352))*AVERAGE('Raw Data'!D$2:'Raw Data'!D$352))</f>
        <v>59.7</v>
      </c>
      <c r="E315" s="52" t="str">
        <f ca="1">IFERROR($J$4+('Raw Data'!H315-MIN('Raw Data'!H$2:'Raw Data'!H$352))*($J$3-$J$4)/(MAX('Raw Data'!H$2:'Raw Data'!H$352)-MIN('Raw Data'!H$2:'Raw Data'!H$352)),"")</f>
        <v/>
      </c>
      <c r="F315" s="52" t="str">
        <f ca="1">IFERROR($J$4+('Raw Data'!I315-MIN('Raw Data'!I$2:'Raw Data'!I$352))*($J$3-$J$4)/(MAX('Raw Data'!I$2:'Raw Data'!I$352)-MIN('Raw Data'!I$2:'Raw Data'!I$352)),"")</f>
        <v/>
      </c>
      <c r="G315" s="52">
        <f ca="1">IF(Bracket!$I$1="Composite",AVERAGE(B315:F315),IF(Bracket!$I$1="Kenpom",B315,IF(Bracket!$I$1="PVA",C315,IF(Bracket!$I$1="Sagarin Predictor",D315,IF(Bracket!$I$1="No Preseason",AVERAGE(B315:D315),"")))))</f>
        <v>60.300991225559734</v>
      </c>
      <c r="H315" s="63">
        <f t="shared" ca="1" si="4"/>
        <v>315</v>
      </c>
      <c r="I315" s="52"/>
      <c r="J315" s="52"/>
      <c r="K315" s="52"/>
    </row>
    <row r="316" spans="1:11" x14ac:dyDescent="0.3">
      <c r="A316" s="52" t="str">
        <f>'Raw Data'!A316</f>
        <v>Abiline Christian</v>
      </c>
      <c r="B316" s="52">
        <f ca="1">'Raw Data'!B316*($K$2/_xlfn.STDEV.P('Raw Data'!B$2:'Raw Data'!B$352)) + ($J$2-($K$2/_xlfn.STDEV.P('Raw Data'!B$2:'Raw Data'!B$352))*AVERAGE('Raw Data'!B$2:'Raw Data'!B$352))</f>
        <v>59.942775313655389</v>
      </c>
      <c r="C316" s="52">
        <f ca="1">'Raw Data'!C316*($K$2/_xlfn.STDEV.P('Raw Data'!C$2:'Raw Data'!C$352)) + ($J$2-($K$2/_xlfn.STDEV.P('Raw Data'!C$2:'Raw Data'!C$352))*AVERAGE('Raw Data'!C$2:'Raw Data'!C$352))</f>
        <v>61.17521324144866</v>
      </c>
      <c r="D316" s="52">
        <f ca="1">'Raw Data'!D316*($K$2/_xlfn.STDEV.P('Raw Data'!D$2:'Raw Data'!D$352)) + ($J$2-($K$2/_xlfn.STDEV.P('Raw Data'!D$2:'Raw Data'!D$352))*AVERAGE('Raw Data'!D$2:'Raw Data'!D$352))</f>
        <v>59.75</v>
      </c>
      <c r="E316" s="52" t="str">
        <f ca="1">IFERROR($J$4+('Raw Data'!H316-MIN('Raw Data'!H$2:'Raw Data'!H$352))*($J$3-$J$4)/(MAX('Raw Data'!H$2:'Raw Data'!H$352)-MIN('Raw Data'!H$2:'Raw Data'!H$352)),"")</f>
        <v/>
      </c>
      <c r="F316" s="52" t="str">
        <f ca="1">IFERROR($J$4+('Raw Data'!I316-MIN('Raw Data'!I$2:'Raw Data'!I$352))*($J$3-$J$4)/(MAX('Raw Data'!I$2:'Raw Data'!I$352)-MIN('Raw Data'!I$2:'Raw Data'!I$352)),"")</f>
        <v/>
      </c>
      <c r="G316" s="52">
        <f ca="1">IF(Bracket!$I$1="Composite",AVERAGE(B316:F316),IF(Bracket!$I$1="Kenpom",B316,IF(Bracket!$I$1="PVA",C316,IF(Bracket!$I$1="Sagarin Predictor",D316,IF(Bracket!$I$1="No Preseason",AVERAGE(B316:D316),"")))))</f>
        <v>60.289329518368014</v>
      </c>
      <c r="H316" s="63">
        <f t="shared" ca="1" si="4"/>
        <v>316</v>
      </c>
      <c r="I316" s="52"/>
      <c r="J316" s="52"/>
      <c r="K316" s="52"/>
    </row>
    <row r="317" spans="1:11" x14ac:dyDescent="0.3">
      <c r="A317" s="52" t="str">
        <f>'Raw Data'!A317</f>
        <v>American</v>
      </c>
      <c r="B317" s="52">
        <f ca="1">'Raw Data'!B317*($K$2/_xlfn.STDEV.P('Raw Data'!B$2:'Raw Data'!B$352)) + ($J$2-($K$2/_xlfn.STDEV.P('Raw Data'!B$2:'Raw Data'!B$352))*AVERAGE('Raw Data'!B$2:'Raw Data'!B$352))</f>
        <v>60.961142900549447</v>
      </c>
      <c r="C317" s="52">
        <f ca="1">'Raw Data'!C317*($K$2/_xlfn.STDEV.P('Raw Data'!C$2:'Raw Data'!C$352)) + ($J$2-($K$2/_xlfn.STDEV.P('Raw Data'!C$2:'Raw Data'!C$352))*AVERAGE('Raw Data'!C$2:'Raw Data'!C$352))</f>
        <v>60.787486064657436</v>
      </c>
      <c r="D317" s="52">
        <f ca="1">'Raw Data'!D317*($K$2/_xlfn.STDEV.P('Raw Data'!D$2:'Raw Data'!D$352)) + ($J$2-($K$2/_xlfn.STDEV.P('Raw Data'!D$2:'Raw Data'!D$352))*AVERAGE('Raw Data'!D$2:'Raw Data'!D$352))</f>
        <v>60.69</v>
      </c>
      <c r="E317" s="52" t="str">
        <f ca="1">IFERROR($J$4+('Raw Data'!H317-MIN('Raw Data'!H$2:'Raw Data'!H$352))*($J$3-$J$4)/(MAX('Raw Data'!H$2:'Raw Data'!H$352)-MIN('Raw Data'!H$2:'Raw Data'!H$352)),"")</f>
        <v/>
      </c>
      <c r="F317" s="52" t="str">
        <f ca="1">IFERROR($J$4+('Raw Data'!I317-MIN('Raw Data'!I$2:'Raw Data'!I$352))*($J$3-$J$4)/(MAX('Raw Data'!I$2:'Raw Data'!I$352)-MIN('Raw Data'!I$2:'Raw Data'!I$352)),"")</f>
        <v/>
      </c>
      <c r="G317" s="52">
        <f ca="1">IF(Bracket!$I$1="Composite",AVERAGE(B317:F317),IF(Bracket!$I$1="Kenpom",B317,IF(Bracket!$I$1="PVA",C317,IF(Bracket!$I$1="Sagarin Predictor",D317,IF(Bracket!$I$1="No Preseason",AVERAGE(B317:D317),"")))))</f>
        <v>60.812876321735622</v>
      </c>
      <c r="H317" s="63">
        <f t="shared" ca="1" si="4"/>
        <v>308</v>
      </c>
      <c r="I317" s="52"/>
      <c r="J317" s="52"/>
      <c r="K317" s="52"/>
    </row>
    <row r="318" spans="1:11" x14ac:dyDescent="0.3">
      <c r="A318" s="52" t="str">
        <f>'Raw Data'!A318</f>
        <v>USC Upstate</v>
      </c>
      <c r="B318" s="52">
        <f ca="1">'Raw Data'!B318*($K$2/_xlfn.STDEV.P('Raw Data'!B$2:'Raw Data'!B$352)) + ($J$2-($K$2/_xlfn.STDEV.P('Raw Data'!B$2:'Raw Data'!B$352))*AVERAGE('Raw Data'!B$2:'Raw Data'!B$352))</f>
        <v>59.80322123693287</v>
      </c>
      <c r="C318" s="52">
        <f ca="1">'Raw Data'!C318*($K$2/_xlfn.STDEV.P('Raw Data'!C$2:'Raw Data'!C$352)) + ($J$2-($K$2/_xlfn.STDEV.P('Raw Data'!C$2:'Raw Data'!C$352))*AVERAGE('Raw Data'!C$2:'Raw Data'!C$352))</f>
        <v>59.882789318811263</v>
      </c>
      <c r="D318" s="52">
        <f ca="1">'Raw Data'!D318*($K$2/_xlfn.STDEV.P('Raw Data'!D$2:'Raw Data'!D$352)) + ($J$2-($K$2/_xlfn.STDEV.P('Raw Data'!D$2:'Raw Data'!D$352))*AVERAGE('Raw Data'!D$2:'Raw Data'!D$352))</f>
        <v>59.5</v>
      </c>
      <c r="E318" s="52" t="str">
        <f ca="1">IFERROR($J$4+('Raw Data'!H318-MIN('Raw Data'!H$2:'Raw Data'!H$352))*($J$3-$J$4)/(MAX('Raw Data'!H$2:'Raw Data'!H$352)-MIN('Raw Data'!H$2:'Raw Data'!H$352)),"")</f>
        <v/>
      </c>
      <c r="F318" s="52" t="str">
        <f ca="1">IFERROR($J$4+('Raw Data'!I318-MIN('Raw Data'!I$2:'Raw Data'!I$352))*($J$3-$J$4)/(MAX('Raw Data'!I$2:'Raw Data'!I$352)-MIN('Raw Data'!I$2:'Raw Data'!I$352)),"")</f>
        <v/>
      </c>
      <c r="G318" s="52">
        <f ca="1">IF(Bracket!$I$1="Composite",AVERAGE(B318:F318),IF(Bracket!$I$1="Kenpom",B318,IF(Bracket!$I$1="PVA",C318,IF(Bracket!$I$1="Sagarin Predictor",D318,IF(Bracket!$I$1="No Preseason",AVERAGE(B318:D318),"")))))</f>
        <v>59.728670185248042</v>
      </c>
      <c r="H318" s="63">
        <f t="shared" ca="1" si="4"/>
        <v>321</v>
      </c>
      <c r="I318" s="52"/>
      <c r="J318" s="52"/>
      <c r="K318" s="52"/>
    </row>
    <row r="319" spans="1:11" x14ac:dyDescent="0.3">
      <c r="A319" s="52" t="str">
        <f>'Raw Data'!A319</f>
        <v>Holy Cross</v>
      </c>
      <c r="B319" s="52">
        <f ca="1">'Raw Data'!B319*($K$2/_xlfn.STDEV.P('Raw Data'!B$2:'Raw Data'!B$352)) + ($J$2-($K$2/_xlfn.STDEV.P('Raw Data'!B$2:'Raw Data'!B$352))*AVERAGE('Raw Data'!B$2:'Raw Data'!B$352))</f>
        <v>63.684333262540207</v>
      </c>
      <c r="C319" s="52">
        <f ca="1">'Raw Data'!C319*($K$2/_xlfn.STDEV.P('Raw Data'!C$2:'Raw Data'!C$352)) + ($J$2-($K$2/_xlfn.STDEV.P('Raw Data'!C$2:'Raw Data'!C$352))*AVERAGE('Raw Data'!C$2:'Raw Data'!C$352))</f>
        <v>63.243091517668489</v>
      </c>
      <c r="D319" s="52">
        <f ca="1">'Raw Data'!D319*($K$2/_xlfn.STDEV.P('Raw Data'!D$2:'Raw Data'!D$352)) + ($J$2-($K$2/_xlfn.STDEV.P('Raw Data'!D$2:'Raw Data'!D$352))*AVERAGE('Raw Data'!D$2:'Raw Data'!D$352))</f>
        <v>63.35</v>
      </c>
      <c r="E319" s="52" t="str">
        <f ca="1">IFERROR($J$4+('Raw Data'!H319-MIN('Raw Data'!H$2:'Raw Data'!H$352))*($J$3-$J$4)/(MAX('Raw Data'!H$2:'Raw Data'!H$352)-MIN('Raw Data'!H$2:'Raw Data'!H$352)),"")</f>
        <v/>
      </c>
      <c r="F319" s="52" t="str">
        <f ca="1">IFERROR($J$4+('Raw Data'!I319-MIN('Raw Data'!I$2:'Raw Data'!I$352))*($J$3-$J$4)/(MAX('Raw Data'!I$2:'Raw Data'!I$352)-MIN('Raw Data'!I$2:'Raw Data'!I$352)),"")</f>
        <v/>
      </c>
      <c r="G319" s="52">
        <f ca="1">IF(Bracket!$I$1="Composite",AVERAGE(B319:F319),IF(Bracket!$I$1="Kenpom",B319,IF(Bracket!$I$1="PVA",C319,IF(Bracket!$I$1="Sagarin Predictor",D319,IF(Bracket!$I$1="No Preseason",AVERAGE(B319:D319),"")))))</f>
        <v>63.425808260069566</v>
      </c>
      <c r="H319" s="63">
        <f t="shared" ca="1" si="4"/>
        <v>280</v>
      </c>
      <c r="I319" s="52"/>
      <c r="J319" s="52"/>
      <c r="K319" s="52"/>
    </row>
    <row r="320" spans="1:11" x14ac:dyDescent="0.3">
      <c r="A320" s="52" t="str">
        <f>'Raw Data'!A320</f>
        <v>Southern Miss</v>
      </c>
      <c r="B320" s="52">
        <f ca="1">'Raw Data'!B320*($K$2/_xlfn.STDEV.P('Raw Data'!B$2:'Raw Data'!B$352)) + ($J$2-($K$2/_xlfn.STDEV.P('Raw Data'!B$2:'Raw Data'!B$352))*AVERAGE('Raw Data'!B$2:'Raw Data'!B$352))</f>
        <v>60.640545697267981</v>
      </c>
      <c r="C320" s="52">
        <f ca="1">'Raw Data'!C320*($K$2/_xlfn.STDEV.P('Raw Data'!C$2:'Raw Data'!C$352)) + ($J$2-($K$2/_xlfn.STDEV.P('Raw Data'!C$2:'Raw Data'!C$352))*AVERAGE('Raw Data'!C$2:'Raw Data'!C$352))</f>
        <v>61.821425202767358</v>
      </c>
      <c r="D320" s="52">
        <f ca="1">'Raw Data'!D320*($K$2/_xlfn.STDEV.P('Raw Data'!D$2:'Raw Data'!D$352)) + ($J$2-($K$2/_xlfn.STDEV.P('Raw Data'!D$2:'Raw Data'!D$352))*AVERAGE('Raw Data'!D$2:'Raw Data'!D$352))</f>
        <v>62.19</v>
      </c>
      <c r="E320" s="52" t="str">
        <f ca="1">IFERROR($J$4+('Raw Data'!H320-MIN('Raw Data'!H$2:'Raw Data'!H$352))*($J$3-$J$4)/(MAX('Raw Data'!H$2:'Raw Data'!H$352)-MIN('Raw Data'!H$2:'Raw Data'!H$352)),"")</f>
        <v/>
      </c>
      <c r="F320" s="52" t="str">
        <f ca="1">IFERROR($J$4+('Raw Data'!I320-MIN('Raw Data'!I$2:'Raw Data'!I$352))*($J$3-$J$4)/(MAX('Raw Data'!I$2:'Raw Data'!I$352)-MIN('Raw Data'!I$2:'Raw Data'!I$352)),"")</f>
        <v/>
      </c>
      <c r="G320" s="52">
        <f ca="1">IF(Bracket!$I$1="Composite",AVERAGE(B320:F320),IF(Bracket!$I$1="Kenpom",B320,IF(Bracket!$I$1="PVA",C320,IF(Bracket!$I$1="Sagarin Predictor",D320,IF(Bracket!$I$1="No Preseason",AVERAGE(B320:D320),"")))))</f>
        <v>61.550656966678446</v>
      </c>
      <c r="H320" s="63">
        <f t="shared" ca="1" si="4"/>
        <v>301</v>
      </c>
      <c r="I320" s="52"/>
      <c r="J320" s="52"/>
      <c r="K320" s="52"/>
    </row>
    <row r="321" spans="1:11" x14ac:dyDescent="0.3">
      <c r="A321" s="52" t="str">
        <f>'Raw Data'!A321</f>
        <v>MD Eastern Shore</v>
      </c>
      <c r="B321" s="52">
        <f ca="1">'Raw Data'!B321*($K$2/_xlfn.STDEV.P('Raw Data'!B$2:'Raw Data'!B$352)) + ($J$2-($K$2/_xlfn.STDEV.P('Raw Data'!B$2:'Raw Data'!B$352))*AVERAGE('Raw Data'!B$2:'Raw Data'!B$352))</f>
        <v>59.946547045458701</v>
      </c>
      <c r="C321" s="52">
        <f ca="1">'Raw Data'!C321*($K$2/_xlfn.STDEV.P('Raw Data'!C$2:'Raw Data'!C$352)) + ($J$2-($K$2/_xlfn.STDEV.P('Raw Data'!C$2:'Raw Data'!C$352))*AVERAGE('Raw Data'!C$2:'Raw Data'!C$352))</f>
        <v>60.012031711074997</v>
      </c>
      <c r="D321" s="52">
        <f ca="1">'Raw Data'!D321*($K$2/_xlfn.STDEV.P('Raw Data'!D$2:'Raw Data'!D$352)) + ($J$2-($K$2/_xlfn.STDEV.P('Raw Data'!D$2:'Raw Data'!D$352))*AVERAGE('Raw Data'!D$2:'Raw Data'!D$352))</f>
        <v>60.1</v>
      </c>
      <c r="E321" s="52" t="str">
        <f ca="1">IFERROR($J$4+('Raw Data'!H321-MIN('Raw Data'!H$2:'Raw Data'!H$352))*($J$3-$J$4)/(MAX('Raw Data'!H$2:'Raw Data'!H$352)-MIN('Raw Data'!H$2:'Raw Data'!H$352)),"")</f>
        <v/>
      </c>
      <c r="F321" s="52" t="str">
        <f ca="1">IFERROR($J$4+('Raw Data'!I321-MIN('Raw Data'!I$2:'Raw Data'!I$352))*($J$3-$J$4)/(MAX('Raw Data'!I$2:'Raw Data'!I$352)-MIN('Raw Data'!I$2:'Raw Data'!I$352)),"")</f>
        <v/>
      </c>
      <c r="G321" s="52">
        <f ca="1">IF(Bracket!$I$1="Composite",AVERAGE(B321:F321),IF(Bracket!$I$1="Kenpom",B321,IF(Bracket!$I$1="PVA",C321,IF(Bracket!$I$1="Sagarin Predictor",D321,IF(Bracket!$I$1="No Preseason",AVERAGE(B321:D321),"")))))</f>
        <v>60.019526252177904</v>
      </c>
      <c r="H321" s="63">
        <f t="shared" ca="1" si="4"/>
        <v>318</v>
      </c>
      <c r="I321" s="52"/>
      <c r="J321" s="52"/>
      <c r="K321" s="52"/>
    </row>
    <row r="322" spans="1:11" x14ac:dyDescent="0.3">
      <c r="A322" s="52" t="str">
        <f>'Raw Data'!A322</f>
        <v>Northwestern St</v>
      </c>
      <c r="B322" s="52">
        <f ca="1">'Raw Data'!B322*($K$2/_xlfn.STDEV.P('Raw Data'!B$2:'Raw Data'!B$352)) + ($J$2-($K$2/_xlfn.STDEV.P('Raw Data'!B$2:'Raw Data'!B$352))*AVERAGE('Raw Data'!B$2:'Raw Data'!B$352))</f>
        <v>59.282722248075913</v>
      </c>
      <c r="C322" s="52">
        <f ca="1">'Raw Data'!C322*($K$2/_xlfn.STDEV.P('Raw Data'!C$2:'Raw Data'!C$352)) + ($J$2-($K$2/_xlfn.STDEV.P('Raw Data'!C$2:'Raw Data'!C$352))*AVERAGE('Raw Data'!C$2:'Raw Data'!C$352))</f>
        <v>59.495062142020039</v>
      </c>
      <c r="D322" s="52">
        <f ca="1">'Raw Data'!D322*($K$2/_xlfn.STDEV.P('Raw Data'!D$2:'Raw Data'!D$352)) + ($J$2-($K$2/_xlfn.STDEV.P('Raw Data'!D$2:'Raw Data'!D$352))*AVERAGE('Raw Data'!D$2:'Raw Data'!D$352))</f>
        <v>59.31</v>
      </c>
      <c r="E322" s="52" t="str">
        <f ca="1">IFERROR($J$4+('Raw Data'!H322-MIN('Raw Data'!H$2:'Raw Data'!H$352))*($J$3-$J$4)/(MAX('Raw Data'!H$2:'Raw Data'!H$352)-MIN('Raw Data'!H$2:'Raw Data'!H$352)),"")</f>
        <v/>
      </c>
      <c r="F322" s="52" t="str">
        <f ca="1">IFERROR($J$4+('Raw Data'!I322-MIN('Raw Data'!I$2:'Raw Data'!I$352))*($J$3-$J$4)/(MAX('Raw Data'!I$2:'Raw Data'!I$352)-MIN('Raw Data'!I$2:'Raw Data'!I$352)),"")</f>
        <v/>
      </c>
      <c r="G322" s="52">
        <f ca="1">IF(Bracket!$I$1="Composite",AVERAGE(B322:F322),IF(Bracket!$I$1="Kenpom",B322,IF(Bracket!$I$1="PVA",C322,IF(Bracket!$I$1="Sagarin Predictor",D322,IF(Bracket!$I$1="No Preseason",AVERAGE(B322:D322),"")))))</f>
        <v>59.362594796698652</v>
      </c>
      <c r="H322" s="63">
        <f t="shared" ca="1" si="4"/>
        <v>329</v>
      </c>
      <c r="I322" s="52"/>
      <c r="J322" s="52"/>
      <c r="K322" s="52"/>
    </row>
    <row r="323" spans="1:11" x14ac:dyDescent="0.3">
      <c r="A323" s="52" t="str">
        <f>'Raw Data'!A323</f>
        <v>Niagara</v>
      </c>
      <c r="B323" s="52">
        <f ca="1">'Raw Data'!B323*($K$2/_xlfn.STDEV.P('Raw Data'!B$2:'Raw Data'!B$352)) + ($J$2-($K$2/_xlfn.STDEV.P('Raw Data'!B$2:'Raw Data'!B$352))*AVERAGE('Raw Data'!B$2:'Raw Data'!B$352))</f>
        <v>59.576917328734197</v>
      </c>
      <c r="C323" s="52">
        <f ca="1">'Raw Data'!C323*($K$2/_xlfn.STDEV.P('Raw Data'!C$2:'Raw Data'!C$352)) + ($J$2-($K$2/_xlfn.STDEV.P('Raw Data'!C$2:'Raw Data'!C$352))*AVERAGE('Raw Data'!C$2:'Raw Data'!C$352))</f>
        <v>58.7196077884376</v>
      </c>
      <c r="D323" s="52">
        <f ca="1">'Raw Data'!D323*($K$2/_xlfn.STDEV.P('Raw Data'!D$2:'Raw Data'!D$352)) + ($J$2-($K$2/_xlfn.STDEV.P('Raw Data'!D$2:'Raw Data'!D$352))*AVERAGE('Raw Data'!D$2:'Raw Data'!D$352))</f>
        <v>62.25</v>
      </c>
      <c r="E323" s="52" t="str">
        <f ca="1">IFERROR($J$4+('Raw Data'!H323-MIN('Raw Data'!H$2:'Raw Data'!H$352))*($J$3-$J$4)/(MAX('Raw Data'!H$2:'Raw Data'!H$352)-MIN('Raw Data'!H$2:'Raw Data'!H$352)),"")</f>
        <v/>
      </c>
      <c r="F323" s="52" t="str">
        <f ca="1">IFERROR($J$4+('Raw Data'!I323-MIN('Raw Data'!I$2:'Raw Data'!I$352))*($J$3-$J$4)/(MAX('Raw Data'!I$2:'Raw Data'!I$352)-MIN('Raw Data'!I$2:'Raw Data'!I$352)),"")</f>
        <v/>
      </c>
      <c r="G323" s="52">
        <f ca="1">IF(Bracket!$I$1="Composite",AVERAGE(B323:F323),IF(Bracket!$I$1="Kenpom",B323,IF(Bracket!$I$1="PVA",C323,IF(Bracket!$I$1="Sagarin Predictor",D323,IF(Bracket!$I$1="No Preseason",AVERAGE(B323:D323),"")))))</f>
        <v>60.182175039057263</v>
      </c>
      <c r="H323" s="63">
        <f t="shared" ref="H323:H352" ca="1" si="5">RANK(G323,$G$2:$G$352)</f>
        <v>317</v>
      </c>
      <c r="I323" s="52"/>
      <c r="J323" s="52"/>
      <c r="K323" s="52"/>
    </row>
    <row r="324" spans="1:11" x14ac:dyDescent="0.3">
      <c r="A324" s="52" t="str">
        <f>'Raw Data'!A324</f>
        <v>N Colorado</v>
      </c>
      <c r="B324" s="52">
        <f ca="1">'Raw Data'!B324*($K$2/_xlfn.STDEV.P('Raw Data'!B$2:'Raw Data'!B$352)) + ($J$2-($K$2/_xlfn.STDEV.P('Raw Data'!B$2:'Raw Data'!B$352))*AVERAGE('Raw Data'!B$2:'Raw Data'!B$352))</f>
        <v>60.301089834969964</v>
      </c>
      <c r="C324" s="52">
        <f ca="1">'Raw Data'!C324*($K$2/_xlfn.STDEV.P('Raw Data'!C$2:'Raw Data'!C$352)) + ($J$2-($K$2/_xlfn.STDEV.P('Raw Data'!C$2:'Raw Data'!C$352))*AVERAGE('Raw Data'!C$2:'Raw Data'!C$352))</f>
        <v>61.433698025976135</v>
      </c>
      <c r="D324" s="52">
        <f ca="1">'Raw Data'!D324*($K$2/_xlfn.STDEV.P('Raw Data'!D$2:'Raw Data'!D$352)) + ($J$2-($K$2/_xlfn.STDEV.P('Raw Data'!D$2:'Raw Data'!D$352))*AVERAGE('Raw Data'!D$2:'Raw Data'!D$352))</f>
        <v>61.06</v>
      </c>
      <c r="E324" s="52" t="str">
        <f ca="1">IFERROR($J$4+('Raw Data'!H324-MIN('Raw Data'!H$2:'Raw Data'!H$352))*($J$3-$J$4)/(MAX('Raw Data'!H$2:'Raw Data'!H$352)-MIN('Raw Data'!H$2:'Raw Data'!H$352)),"")</f>
        <v/>
      </c>
      <c r="F324" s="52" t="str">
        <f ca="1">IFERROR($J$4+('Raw Data'!I324-MIN('Raw Data'!I$2:'Raw Data'!I$352))*($J$3-$J$4)/(MAX('Raw Data'!I$2:'Raw Data'!I$352)-MIN('Raw Data'!I$2:'Raw Data'!I$352)),"")</f>
        <v/>
      </c>
      <c r="G324" s="52">
        <f ca="1">IF(Bracket!$I$1="Composite",AVERAGE(B324:F324),IF(Bracket!$I$1="Kenpom",B324,IF(Bracket!$I$1="PVA",C324,IF(Bracket!$I$1="Sagarin Predictor",D324,IF(Bracket!$I$1="No Preseason",AVERAGE(B324:D324),"")))))</f>
        <v>60.931595953648696</v>
      </c>
      <c r="H324" s="63">
        <f t="shared" ca="1" si="5"/>
        <v>307</v>
      </c>
      <c r="I324" s="52"/>
      <c r="J324" s="52"/>
      <c r="K324" s="52"/>
    </row>
    <row r="325" spans="1:11" x14ac:dyDescent="0.3">
      <c r="A325" s="52" t="str">
        <f>'Raw Data'!A325</f>
        <v>SIU ED</v>
      </c>
      <c r="B325" s="52">
        <f ca="1">'Raw Data'!B325*($K$2/_xlfn.STDEV.P('Raw Data'!B$2:'Raw Data'!B$352)) + ($J$2-($K$2/_xlfn.STDEV.P('Raw Data'!B$2:'Raw Data'!B$352))*AVERAGE('Raw Data'!B$2:'Raw Data'!B$352))</f>
        <v>59.641036769390482</v>
      </c>
      <c r="C325" s="52">
        <f ca="1">'Raw Data'!C325*($K$2/_xlfn.STDEV.P('Raw Data'!C$2:'Raw Data'!C$352)) + ($J$2-($K$2/_xlfn.STDEV.P('Raw Data'!C$2:'Raw Data'!C$352))*AVERAGE('Raw Data'!C$2:'Raw Data'!C$352))</f>
        <v>60.270516495602479</v>
      </c>
      <c r="D325" s="52">
        <f ca="1">'Raw Data'!D325*($K$2/_xlfn.STDEV.P('Raw Data'!D$2:'Raw Data'!D$352)) + ($J$2-($K$2/_xlfn.STDEV.P('Raw Data'!D$2:'Raw Data'!D$352))*AVERAGE('Raw Data'!D$2:'Raw Data'!D$352))</f>
        <v>61.81</v>
      </c>
      <c r="E325" s="52" t="str">
        <f ca="1">IFERROR($J$4+('Raw Data'!H325-MIN('Raw Data'!H$2:'Raw Data'!H$352))*($J$3-$J$4)/(MAX('Raw Data'!H$2:'Raw Data'!H$352)-MIN('Raw Data'!H$2:'Raw Data'!H$352)),"")</f>
        <v/>
      </c>
      <c r="F325" s="52" t="str">
        <f ca="1">IFERROR($J$4+('Raw Data'!I325-MIN('Raw Data'!I$2:'Raw Data'!I$352))*($J$3-$J$4)/(MAX('Raw Data'!I$2:'Raw Data'!I$352)-MIN('Raw Data'!I$2:'Raw Data'!I$352)),"")</f>
        <v/>
      </c>
      <c r="G325" s="52">
        <f ca="1">IF(Bracket!$I$1="Composite",AVERAGE(B325:F325),IF(Bracket!$I$1="Kenpom",B325,IF(Bracket!$I$1="PVA",C325,IF(Bracket!$I$1="Sagarin Predictor",D325,IF(Bracket!$I$1="No Preseason",AVERAGE(B325:D325),"")))))</f>
        <v>60.57385108833099</v>
      </c>
      <c r="H325" s="63">
        <f t="shared" ca="1" si="5"/>
        <v>310</v>
      </c>
      <c r="I325" s="52"/>
      <c r="J325" s="52"/>
      <c r="K325" s="52"/>
    </row>
    <row r="326" spans="1:11" x14ac:dyDescent="0.3">
      <c r="A326" s="52" t="str">
        <f>'Raw Data'!A326</f>
        <v>Lafayette</v>
      </c>
      <c r="B326" s="52">
        <f ca="1">'Raw Data'!B326*($K$2/_xlfn.STDEV.P('Raw Data'!B$2:'Raw Data'!B$352)) + ($J$2-($K$2/_xlfn.STDEV.P('Raw Data'!B$2:'Raw Data'!B$352))*AVERAGE('Raw Data'!B$2:'Raw Data'!B$352))</f>
        <v>59.509026156274594</v>
      </c>
      <c r="C326" s="52">
        <f ca="1">'Raw Data'!C326*($K$2/_xlfn.STDEV.P('Raw Data'!C$2:'Raw Data'!C$352)) + ($J$2-($K$2/_xlfn.STDEV.P('Raw Data'!C$2:'Raw Data'!C$352))*AVERAGE('Raw Data'!C$2:'Raw Data'!C$352))</f>
        <v>57.297941473536468</v>
      </c>
      <c r="D326" s="52">
        <f ca="1">'Raw Data'!D326*($K$2/_xlfn.STDEV.P('Raw Data'!D$2:'Raw Data'!D$352)) + ($J$2-($K$2/_xlfn.STDEV.P('Raw Data'!D$2:'Raw Data'!D$352))*AVERAGE('Raw Data'!D$2:'Raw Data'!D$352))</f>
        <v>59.75</v>
      </c>
      <c r="E326" s="52" t="str">
        <f ca="1">IFERROR($J$4+('Raw Data'!H326-MIN('Raw Data'!H$2:'Raw Data'!H$352))*($J$3-$J$4)/(MAX('Raw Data'!H$2:'Raw Data'!H$352)-MIN('Raw Data'!H$2:'Raw Data'!H$352)),"")</f>
        <v/>
      </c>
      <c r="F326" s="52" t="str">
        <f ca="1">IFERROR($J$4+('Raw Data'!I326-MIN('Raw Data'!I$2:'Raw Data'!I$352))*($J$3-$J$4)/(MAX('Raw Data'!I$2:'Raw Data'!I$352)-MIN('Raw Data'!I$2:'Raw Data'!I$352)),"")</f>
        <v/>
      </c>
      <c r="G326" s="52">
        <f ca="1">IF(Bracket!$I$1="Composite",AVERAGE(B326:F326),IF(Bracket!$I$1="Kenpom",B326,IF(Bracket!$I$1="PVA",C326,IF(Bracket!$I$1="Sagarin Predictor",D326,IF(Bracket!$I$1="No Preseason",AVERAGE(B326:D326),"")))))</f>
        <v>58.852322543270354</v>
      </c>
      <c r="H326" s="63">
        <f t="shared" ca="1" si="5"/>
        <v>331</v>
      </c>
      <c r="I326" s="52"/>
      <c r="J326" s="52"/>
      <c r="K326" s="52"/>
    </row>
    <row r="327" spans="1:11" x14ac:dyDescent="0.3">
      <c r="A327" s="52" t="str">
        <f>'Raw Data'!A327</f>
        <v>Binghamton</v>
      </c>
      <c r="B327" s="52">
        <f ca="1">'Raw Data'!B327*($K$2/_xlfn.STDEV.P('Raw Data'!B$2:'Raw Data'!B$352)) + ($J$2-($K$2/_xlfn.STDEV.P('Raw Data'!B$2:'Raw Data'!B$352))*AVERAGE('Raw Data'!B$2:'Raw Data'!B$352))</f>
        <v>59.580689060537509</v>
      </c>
      <c r="C327" s="52">
        <f ca="1">'Raw Data'!C327*($K$2/_xlfn.STDEV.P('Raw Data'!C$2:'Raw Data'!C$352)) + ($J$2-($K$2/_xlfn.STDEV.P('Raw Data'!C$2:'Raw Data'!C$352))*AVERAGE('Raw Data'!C$2:'Raw Data'!C$352))</f>
        <v>58.848850180701341</v>
      </c>
      <c r="D327" s="52">
        <f ca="1">'Raw Data'!D327*($K$2/_xlfn.STDEV.P('Raw Data'!D$2:'Raw Data'!D$352)) + ($J$2-($K$2/_xlfn.STDEV.P('Raw Data'!D$2:'Raw Data'!D$352))*AVERAGE('Raw Data'!D$2:'Raw Data'!D$352))</f>
        <v>59.79</v>
      </c>
      <c r="E327" s="52" t="str">
        <f ca="1">IFERROR($J$4+('Raw Data'!H327-MIN('Raw Data'!H$2:'Raw Data'!H$352))*($J$3-$J$4)/(MAX('Raw Data'!H$2:'Raw Data'!H$352)-MIN('Raw Data'!H$2:'Raw Data'!H$352)),"")</f>
        <v/>
      </c>
      <c r="F327" s="52" t="str">
        <f ca="1">IFERROR($J$4+('Raw Data'!I327-MIN('Raw Data'!I$2:'Raw Data'!I$352))*($J$3-$J$4)/(MAX('Raw Data'!I$2:'Raw Data'!I$352)-MIN('Raw Data'!I$2:'Raw Data'!I$352)),"")</f>
        <v/>
      </c>
      <c r="G327" s="52">
        <f ca="1">IF(Bracket!$I$1="Composite",AVERAGE(B327:F327),IF(Bracket!$I$1="Kenpom",B327,IF(Bracket!$I$1="PVA",C327,IF(Bracket!$I$1="Sagarin Predictor",D327,IF(Bracket!$I$1="No Preseason",AVERAGE(B327:D327),"")))))</f>
        <v>59.406513080412942</v>
      </c>
      <c r="H327" s="63">
        <f t="shared" ca="1" si="5"/>
        <v>328</v>
      </c>
      <c r="I327" s="52"/>
      <c r="J327" s="52"/>
      <c r="K327" s="52"/>
    </row>
    <row r="328" spans="1:11" x14ac:dyDescent="0.3">
      <c r="A328" s="52" t="str">
        <f>'Raw Data'!A328</f>
        <v>Presbyterian</v>
      </c>
      <c r="B328" s="52">
        <f ca="1">'Raw Data'!B328*($K$2/_xlfn.STDEV.P('Raw Data'!B$2:'Raw Data'!B$352)) + ($J$2-($K$2/_xlfn.STDEV.P('Raw Data'!B$2:'Raw Data'!B$352))*AVERAGE('Raw Data'!B$2:'Raw Data'!B$352))</f>
        <v>58.675473427742794</v>
      </c>
      <c r="C328" s="52">
        <f ca="1">'Raw Data'!C328*($K$2/_xlfn.STDEV.P('Raw Data'!C$2:'Raw Data'!C$352)) + ($J$2-($K$2/_xlfn.STDEV.P('Raw Data'!C$2:'Raw Data'!C$352))*AVERAGE('Raw Data'!C$2:'Raw Data'!C$352))</f>
        <v>60.916728456921177</v>
      </c>
      <c r="D328" s="52">
        <f ca="1">'Raw Data'!D328*($K$2/_xlfn.STDEV.P('Raw Data'!D$2:'Raw Data'!D$352)) + ($J$2-($K$2/_xlfn.STDEV.P('Raw Data'!D$2:'Raw Data'!D$352))*AVERAGE('Raw Data'!D$2:'Raw Data'!D$352))</f>
        <v>59.4</v>
      </c>
      <c r="E328" s="52" t="str">
        <f ca="1">IFERROR($J$4+('Raw Data'!H328-MIN('Raw Data'!H$2:'Raw Data'!H$352))*($J$3-$J$4)/(MAX('Raw Data'!H$2:'Raw Data'!H$352)-MIN('Raw Data'!H$2:'Raw Data'!H$352)),"")</f>
        <v/>
      </c>
      <c r="F328" s="52" t="str">
        <f ca="1">IFERROR($J$4+('Raw Data'!I328-MIN('Raw Data'!I$2:'Raw Data'!I$352))*($J$3-$J$4)/(MAX('Raw Data'!I$2:'Raw Data'!I$352)-MIN('Raw Data'!I$2:'Raw Data'!I$352)),"")</f>
        <v/>
      </c>
      <c r="G328" s="52">
        <f ca="1">IF(Bracket!$I$1="Composite",AVERAGE(B328:F328),IF(Bracket!$I$1="Kenpom",B328,IF(Bracket!$I$1="PVA",C328,IF(Bracket!$I$1="Sagarin Predictor",D328,IF(Bracket!$I$1="No Preseason",AVERAGE(B328:D328),"")))))</f>
        <v>59.664067294887992</v>
      </c>
      <c r="H328" s="63">
        <f t="shared" ca="1" si="5"/>
        <v>324</v>
      </c>
      <c r="I328" s="52"/>
      <c r="J328" s="52"/>
      <c r="K328" s="52"/>
    </row>
    <row r="329" spans="1:11" x14ac:dyDescent="0.3">
      <c r="A329" s="52" t="str">
        <f>'Raw Data'!A329</f>
        <v>Howard</v>
      </c>
      <c r="B329" s="52">
        <f ca="1">'Raw Data'!B329*($K$2/_xlfn.STDEV.P('Raw Data'!B$2:'Raw Data'!B$352)) + ($J$2-($K$2/_xlfn.STDEV.P('Raw Data'!B$2:'Raw Data'!B$352))*AVERAGE('Raw Data'!B$2:'Raw Data'!B$352))</f>
        <v>58.607582255283191</v>
      </c>
      <c r="C329" s="52">
        <f ca="1">'Raw Data'!C329*($K$2/_xlfn.STDEV.P('Raw Data'!C$2:'Raw Data'!C$352)) + ($J$2-($K$2/_xlfn.STDEV.P('Raw Data'!C$2:'Raw Data'!C$352))*AVERAGE('Raw Data'!C$2:'Raw Data'!C$352))</f>
        <v>60.270516495602479</v>
      </c>
      <c r="D329" s="52">
        <f ca="1">'Raw Data'!D329*($K$2/_xlfn.STDEV.P('Raw Data'!D$2:'Raw Data'!D$352)) + ($J$2-($K$2/_xlfn.STDEV.P('Raw Data'!D$2:'Raw Data'!D$352))*AVERAGE('Raw Data'!D$2:'Raw Data'!D$352))</f>
        <v>59.47</v>
      </c>
      <c r="E329" s="52" t="str">
        <f ca="1">IFERROR($J$4+('Raw Data'!H329-MIN('Raw Data'!H$2:'Raw Data'!H$352))*($J$3-$J$4)/(MAX('Raw Data'!H$2:'Raw Data'!H$352)-MIN('Raw Data'!H$2:'Raw Data'!H$352)),"")</f>
        <v/>
      </c>
      <c r="F329" s="52" t="str">
        <f ca="1">IFERROR($J$4+('Raw Data'!I329-MIN('Raw Data'!I$2:'Raw Data'!I$352))*($J$3-$J$4)/(MAX('Raw Data'!I$2:'Raw Data'!I$352)-MIN('Raw Data'!I$2:'Raw Data'!I$352)),"")</f>
        <v/>
      </c>
      <c r="G329" s="52">
        <f ca="1">IF(Bracket!$I$1="Composite",AVERAGE(B329:F329),IF(Bracket!$I$1="Kenpom",B329,IF(Bracket!$I$1="PVA",C329,IF(Bracket!$I$1="Sagarin Predictor",D329,IF(Bracket!$I$1="No Preseason",AVERAGE(B329:D329),"")))))</f>
        <v>59.44936625029522</v>
      </c>
      <c r="H329" s="63">
        <f t="shared" ca="1" si="5"/>
        <v>326</v>
      </c>
      <c r="I329" s="52"/>
      <c r="J329" s="52"/>
      <c r="K329" s="52"/>
    </row>
    <row r="330" spans="1:11" x14ac:dyDescent="0.3">
      <c r="A330" s="52" t="str">
        <f>'Raw Data'!A330</f>
        <v>Coppin State</v>
      </c>
      <c r="B330" s="52">
        <f ca="1">'Raw Data'!B330*($K$2/_xlfn.STDEV.P('Raw Data'!B$2:'Raw Data'!B$352)) + ($J$2-($K$2/_xlfn.STDEV.P('Raw Data'!B$2:'Raw Data'!B$352))*AVERAGE('Raw Data'!B$2:'Raw Data'!B$352))</f>
        <v>59.026244485450746</v>
      </c>
      <c r="C330" s="52">
        <f ca="1">'Raw Data'!C330*($K$2/_xlfn.STDEV.P('Raw Data'!C$2:'Raw Data'!C$352)) + ($J$2-($K$2/_xlfn.STDEV.P('Raw Data'!C$2:'Raw Data'!C$352))*AVERAGE('Raw Data'!C$2:'Raw Data'!C$352))</f>
        <v>59.753546926547521</v>
      </c>
      <c r="D330" s="52">
        <f ca="1">'Raw Data'!D330*($K$2/_xlfn.STDEV.P('Raw Data'!D$2:'Raw Data'!D$352)) + ($J$2-($K$2/_xlfn.STDEV.P('Raw Data'!D$2:'Raw Data'!D$352))*AVERAGE('Raw Data'!D$2:'Raw Data'!D$352))</f>
        <v>58.35</v>
      </c>
      <c r="E330" s="52" t="str">
        <f ca="1">IFERROR($J$4+('Raw Data'!H330-MIN('Raw Data'!H$2:'Raw Data'!H$352))*($J$3-$J$4)/(MAX('Raw Data'!H$2:'Raw Data'!H$352)-MIN('Raw Data'!H$2:'Raw Data'!H$352)),"")</f>
        <v/>
      </c>
      <c r="F330" s="52" t="str">
        <f ca="1">IFERROR($J$4+('Raw Data'!I330-MIN('Raw Data'!I$2:'Raw Data'!I$352))*($J$3-$J$4)/(MAX('Raw Data'!I$2:'Raw Data'!I$352)-MIN('Raw Data'!I$2:'Raw Data'!I$352)),"")</f>
        <v/>
      </c>
      <c r="G330" s="52">
        <f ca="1">IF(Bracket!$I$1="Composite",AVERAGE(B330:F330),IF(Bracket!$I$1="Kenpom",B330,IF(Bracket!$I$1="PVA",C330,IF(Bracket!$I$1="Sagarin Predictor",D330,IF(Bracket!$I$1="No Preseason",AVERAGE(B330:D330),"")))))</f>
        <v>59.043263803999423</v>
      </c>
      <c r="H330" s="63">
        <f t="shared" ca="1" si="5"/>
        <v>330</v>
      </c>
      <c r="I330" s="52"/>
      <c r="J330" s="52"/>
      <c r="K330" s="52"/>
    </row>
    <row r="331" spans="1:11" x14ac:dyDescent="0.3">
      <c r="A331" s="52" t="str">
        <f>'Raw Data'!A331</f>
        <v>Hartford</v>
      </c>
      <c r="B331" s="52">
        <f ca="1">'Raw Data'!B331*($K$2/_xlfn.STDEV.P('Raw Data'!B$2:'Raw Data'!B$352)) + ($J$2-($K$2/_xlfn.STDEV.P('Raw Data'!B$2:'Raw Data'!B$352))*AVERAGE('Raw Data'!B$2:'Raw Data'!B$352))</f>
        <v>60.203024808083867</v>
      </c>
      <c r="C331" s="52">
        <f ca="1">'Raw Data'!C331*($K$2/_xlfn.STDEV.P('Raw Data'!C$2:'Raw Data'!C$352)) + ($J$2-($K$2/_xlfn.STDEV.P('Raw Data'!C$2:'Raw Data'!C$352))*AVERAGE('Raw Data'!C$2:'Raw Data'!C$352))</f>
        <v>59.236577357492564</v>
      </c>
      <c r="D331" s="52">
        <f ca="1">'Raw Data'!D331*($K$2/_xlfn.STDEV.P('Raw Data'!D$2:'Raw Data'!D$352)) + ($J$2-($K$2/_xlfn.STDEV.P('Raw Data'!D$2:'Raw Data'!D$352))*AVERAGE('Raw Data'!D$2:'Raw Data'!D$352))</f>
        <v>59.61</v>
      </c>
      <c r="E331" s="52" t="str">
        <f ca="1">IFERROR($J$4+('Raw Data'!H331-MIN('Raw Data'!H$2:'Raw Data'!H$352))*($J$3-$J$4)/(MAX('Raw Data'!H$2:'Raw Data'!H$352)-MIN('Raw Data'!H$2:'Raw Data'!H$352)),"")</f>
        <v/>
      </c>
      <c r="F331" s="52" t="str">
        <f ca="1">IFERROR($J$4+('Raw Data'!I331-MIN('Raw Data'!I$2:'Raw Data'!I$352))*($J$3-$J$4)/(MAX('Raw Data'!I$2:'Raw Data'!I$352)-MIN('Raw Data'!I$2:'Raw Data'!I$352)),"")</f>
        <v/>
      </c>
      <c r="G331" s="52">
        <f ca="1">IF(Bracket!$I$1="Composite",AVERAGE(B331:F331),IF(Bracket!$I$1="Kenpom",B331,IF(Bracket!$I$1="PVA",C331,IF(Bracket!$I$1="Sagarin Predictor",D331,IF(Bracket!$I$1="No Preseason",AVERAGE(B331:D331),"")))))</f>
        <v>59.68320072185881</v>
      </c>
      <c r="H331" s="63">
        <f t="shared" ca="1" si="5"/>
        <v>322</v>
      </c>
      <c r="I331" s="52"/>
      <c r="J331" s="52"/>
      <c r="K331" s="52"/>
    </row>
    <row r="332" spans="1:11" x14ac:dyDescent="0.3">
      <c r="A332" s="52" t="str">
        <f>'Raw Data'!A332</f>
        <v>UMBC</v>
      </c>
      <c r="B332" s="52">
        <f ca="1">'Raw Data'!B332*($K$2/_xlfn.STDEV.P('Raw Data'!B$2:'Raw Data'!B$352)) + ($J$2-($K$2/_xlfn.STDEV.P('Raw Data'!B$2:'Raw Data'!B$352))*AVERAGE('Raw Data'!B$2:'Raw Data'!B$352))</f>
        <v>58.867831749711669</v>
      </c>
      <c r="C332" s="52">
        <f ca="1">'Raw Data'!C332*($K$2/_xlfn.STDEV.P('Raw Data'!C$2:'Raw Data'!C$352)) + ($J$2-($K$2/_xlfn.STDEV.P('Raw Data'!C$2:'Raw Data'!C$352))*AVERAGE('Raw Data'!C$2:'Raw Data'!C$352))</f>
        <v>57.685668650327685</v>
      </c>
      <c r="D332" s="52">
        <f ca="1">'Raw Data'!D332*($K$2/_xlfn.STDEV.P('Raw Data'!D$2:'Raw Data'!D$352)) + ($J$2-($K$2/_xlfn.STDEV.P('Raw Data'!D$2:'Raw Data'!D$352))*AVERAGE('Raw Data'!D$2:'Raw Data'!D$352))</f>
        <v>58.89</v>
      </c>
      <c r="E332" s="52" t="str">
        <f ca="1">IFERROR($J$4+('Raw Data'!H332-MIN('Raw Data'!H$2:'Raw Data'!H$352))*($J$3-$J$4)/(MAX('Raw Data'!H$2:'Raw Data'!H$352)-MIN('Raw Data'!H$2:'Raw Data'!H$352)),"")</f>
        <v/>
      </c>
      <c r="F332" s="52" t="str">
        <f ca="1">IFERROR($J$4+('Raw Data'!I332-MIN('Raw Data'!I$2:'Raw Data'!I$352))*($J$3-$J$4)/(MAX('Raw Data'!I$2:'Raw Data'!I$352)-MIN('Raw Data'!I$2:'Raw Data'!I$352)),"")</f>
        <v/>
      </c>
      <c r="G332" s="52">
        <f ca="1">IF(Bracket!$I$1="Composite",AVERAGE(B332:F332),IF(Bracket!$I$1="Kenpom",B332,IF(Bracket!$I$1="PVA",C332,IF(Bracket!$I$1="Sagarin Predictor",D332,IF(Bracket!$I$1="No Preseason",AVERAGE(B332:D332),"")))))</f>
        <v>58.481166800013114</v>
      </c>
      <c r="H332" s="63">
        <f t="shared" ca="1" si="5"/>
        <v>334</v>
      </c>
      <c r="I332" s="52"/>
      <c r="J332" s="52"/>
      <c r="K332" s="52"/>
    </row>
    <row r="333" spans="1:11" x14ac:dyDescent="0.3">
      <c r="A333" s="52" t="str">
        <f>'Raw Data'!A333</f>
        <v>UIC</v>
      </c>
      <c r="B333" s="52">
        <f ca="1">'Raw Data'!B333*($K$2/_xlfn.STDEV.P('Raw Data'!B$2:'Raw Data'!B$352)) + ($J$2-($K$2/_xlfn.STDEV.P('Raw Data'!B$2:'Raw Data'!B$352))*AVERAGE('Raw Data'!B$2:'Raw Data'!B$352))</f>
        <v>57.91358360347391</v>
      </c>
      <c r="C333" s="52">
        <f ca="1">'Raw Data'!C333*($K$2/_xlfn.STDEV.P('Raw Data'!C$2:'Raw Data'!C$352)) + ($J$2-($K$2/_xlfn.STDEV.P('Raw Data'!C$2:'Raw Data'!C$352))*AVERAGE('Raw Data'!C$2:'Raw Data'!C$352))</f>
        <v>58.073395827118901</v>
      </c>
      <c r="D333" s="52">
        <f ca="1">'Raw Data'!D333*($K$2/_xlfn.STDEV.P('Raw Data'!D$2:'Raw Data'!D$352)) + ($J$2-($K$2/_xlfn.STDEV.P('Raw Data'!D$2:'Raw Data'!D$352))*AVERAGE('Raw Data'!D$2:'Raw Data'!D$352))</f>
        <v>58.34</v>
      </c>
      <c r="E333" s="52" t="str">
        <f ca="1">IFERROR($J$4+('Raw Data'!H333-MIN('Raw Data'!H$2:'Raw Data'!H$352))*($J$3-$J$4)/(MAX('Raw Data'!H$2:'Raw Data'!H$352)-MIN('Raw Data'!H$2:'Raw Data'!H$352)),"")</f>
        <v/>
      </c>
      <c r="F333" s="52" t="str">
        <f ca="1">IFERROR($J$4+('Raw Data'!I333-MIN('Raw Data'!I$2:'Raw Data'!I$352))*($J$3-$J$4)/(MAX('Raw Data'!I$2:'Raw Data'!I$352)-MIN('Raw Data'!I$2:'Raw Data'!I$352)),"")</f>
        <v/>
      </c>
      <c r="G333" s="52">
        <f ca="1">IF(Bracket!$I$1="Composite",AVERAGE(B333:F333),IF(Bracket!$I$1="Kenpom",B333,IF(Bracket!$I$1="PVA",C333,IF(Bracket!$I$1="Sagarin Predictor",D333,IF(Bracket!$I$1="No Preseason",AVERAGE(B333:D333),"")))))</f>
        <v>58.108993143530938</v>
      </c>
      <c r="H333" s="63">
        <f t="shared" ca="1" si="5"/>
        <v>335</v>
      </c>
      <c r="I333" s="52"/>
      <c r="J333" s="52"/>
      <c r="K333" s="52"/>
    </row>
    <row r="334" spans="1:11" x14ac:dyDescent="0.3">
      <c r="A334" s="52" t="str">
        <f>'Raw Data'!A334</f>
        <v>UTSA</v>
      </c>
      <c r="B334" s="52">
        <f ca="1">'Raw Data'!B334*($K$2/_xlfn.STDEV.P('Raw Data'!B$2:'Raw Data'!B$352)) + ($J$2-($K$2/_xlfn.STDEV.P('Raw Data'!B$2:'Raw Data'!B$352))*AVERAGE('Raw Data'!B$2:'Raw Data'!B$352))</f>
        <v>57.894724944457352</v>
      </c>
      <c r="C334" s="52">
        <f ca="1">'Raw Data'!C334*($K$2/_xlfn.STDEV.P('Raw Data'!C$2:'Raw Data'!C$352)) + ($J$2-($K$2/_xlfn.STDEV.P('Raw Data'!C$2:'Raw Data'!C$352))*AVERAGE('Raw Data'!C$2:'Raw Data'!C$352))</f>
        <v>55.747032766371589</v>
      </c>
      <c r="D334" s="52">
        <f ca="1">'Raw Data'!D334*($K$2/_xlfn.STDEV.P('Raw Data'!D$2:'Raw Data'!D$352)) + ($J$2-($K$2/_xlfn.STDEV.P('Raw Data'!D$2:'Raw Data'!D$352))*AVERAGE('Raw Data'!D$2:'Raw Data'!D$352))</f>
        <v>57.54</v>
      </c>
      <c r="E334" s="52" t="str">
        <f ca="1">IFERROR($J$4+('Raw Data'!H334-MIN('Raw Data'!H$2:'Raw Data'!H$352))*($J$3-$J$4)/(MAX('Raw Data'!H$2:'Raw Data'!H$352)-MIN('Raw Data'!H$2:'Raw Data'!H$352)),"")</f>
        <v/>
      </c>
      <c r="F334" s="52" t="str">
        <f ca="1">IFERROR($J$4+('Raw Data'!I334-MIN('Raw Data'!I$2:'Raw Data'!I$352))*($J$3-$J$4)/(MAX('Raw Data'!I$2:'Raw Data'!I$352)-MIN('Raw Data'!I$2:'Raw Data'!I$352)),"")</f>
        <v/>
      </c>
      <c r="G334" s="52">
        <f ca="1">IF(Bracket!$I$1="Composite",AVERAGE(B334:F334),IF(Bracket!$I$1="Kenpom",B334,IF(Bracket!$I$1="PVA",C334,IF(Bracket!$I$1="Sagarin Predictor",D334,IF(Bracket!$I$1="No Preseason",AVERAGE(B334:D334),"")))))</f>
        <v>57.060585903609649</v>
      </c>
      <c r="H334" s="63">
        <f t="shared" ca="1" si="5"/>
        <v>342</v>
      </c>
      <c r="I334" s="52"/>
      <c r="J334" s="52"/>
      <c r="K334" s="52"/>
    </row>
    <row r="335" spans="1:11" x14ac:dyDescent="0.3">
      <c r="A335" s="52" t="str">
        <f>'Raw Data'!A335</f>
        <v>Maine</v>
      </c>
      <c r="B335" s="52">
        <f ca="1">'Raw Data'!B335*($K$2/_xlfn.STDEV.P('Raw Data'!B$2:'Raw Data'!B$352)) + ($J$2-($K$2/_xlfn.STDEV.P('Raw Data'!B$2:'Raw Data'!B$352))*AVERAGE('Raw Data'!B$2:'Raw Data'!B$352))</f>
        <v>58.524604155610341</v>
      </c>
      <c r="C335" s="52">
        <f ca="1">'Raw Data'!C335*($K$2/_xlfn.STDEV.P('Raw Data'!C$2:'Raw Data'!C$352)) + ($J$2-($K$2/_xlfn.STDEV.P('Raw Data'!C$2:'Raw Data'!C$352))*AVERAGE('Raw Data'!C$2:'Raw Data'!C$352))</f>
        <v>56.522487119954029</v>
      </c>
      <c r="D335" s="52">
        <f ca="1">'Raw Data'!D335*($K$2/_xlfn.STDEV.P('Raw Data'!D$2:'Raw Data'!D$352)) + ($J$2-($K$2/_xlfn.STDEV.P('Raw Data'!D$2:'Raw Data'!D$352))*AVERAGE('Raw Data'!D$2:'Raw Data'!D$352))</f>
        <v>56.92</v>
      </c>
      <c r="E335" s="52" t="str">
        <f ca="1">IFERROR($J$4+('Raw Data'!H335-MIN('Raw Data'!H$2:'Raw Data'!H$352))*($J$3-$J$4)/(MAX('Raw Data'!H$2:'Raw Data'!H$352)-MIN('Raw Data'!H$2:'Raw Data'!H$352)),"")</f>
        <v/>
      </c>
      <c r="F335" s="52" t="str">
        <f ca="1">IFERROR($J$4+('Raw Data'!I335-MIN('Raw Data'!I$2:'Raw Data'!I$352))*($J$3-$J$4)/(MAX('Raw Data'!I$2:'Raw Data'!I$352)-MIN('Raw Data'!I$2:'Raw Data'!I$352)),"")</f>
        <v/>
      </c>
      <c r="G335" s="52">
        <f ca="1">IF(Bracket!$I$1="Composite",AVERAGE(B335:F335),IF(Bracket!$I$1="Kenpom",B335,IF(Bracket!$I$1="PVA",C335,IF(Bracket!$I$1="Sagarin Predictor",D335,IF(Bracket!$I$1="No Preseason",AVERAGE(B335:D335),"")))))</f>
        <v>57.322363758521455</v>
      </c>
      <c r="H335" s="63">
        <f t="shared" ca="1" si="5"/>
        <v>337</v>
      </c>
      <c r="I335" s="52"/>
      <c r="J335" s="52"/>
      <c r="K335" s="52"/>
    </row>
    <row r="336" spans="1:11" x14ac:dyDescent="0.3">
      <c r="A336" s="52" t="str">
        <f>'Raw Data'!A336</f>
        <v>NC A&amp;T</v>
      </c>
      <c r="B336" s="52">
        <f ca="1">'Raw Data'!B336*($K$2/_xlfn.STDEV.P('Raw Data'!B$2:'Raw Data'!B$352)) + ($J$2-($K$2/_xlfn.STDEV.P('Raw Data'!B$2:'Raw Data'!B$352))*AVERAGE('Raw Data'!B$2:'Raw Data'!B$352))</f>
        <v>58.015420362163312</v>
      </c>
      <c r="C336" s="52">
        <f ca="1">'Raw Data'!C336*($K$2/_xlfn.STDEV.P('Raw Data'!C$2:'Raw Data'!C$352)) + ($J$2-($K$2/_xlfn.STDEV.P('Raw Data'!C$2:'Raw Data'!C$352))*AVERAGE('Raw Data'!C$2:'Raw Data'!C$352))</f>
        <v>56.780971904481504</v>
      </c>
      <c r="D336" s="52">
        <f ca="1">'Raw Data'!D336*($K$2/_xlfn.STDEV.P('Raw Data'!D$2:'Raw Data'!D$352)) + ($J$2-($K$2/_xlfn.STDEV.P('Raw Data'!D$2:'Raw Data'!D$352))*AVERAGE('Raw Data'!D$2:'Raw Data'!D$352))</f>
        <v>57.13</v>
      </c>
      <c r="E336" s="52" t="str">
        <f ca="1">IFERROR($J$4+('Raw Data'!H336-MIN('Raw Data'!H$2:'Raw Data'!H$352))*($J$3-$J$4)/(MAX('Raw Data'!H$2:'Raw Data'!H$352)-MIN('Raw Data'!H$2:'Raw Data'!H$352)),"")</f>
        <v/>
      </c>
      <c r="F336" s="52" t="str">
        <f ca="1">IFERROR($J$4+('Raw Data'!I336-MIN('Raw Data'!I$2:'Raw Data'!I$352))*($J$3-$J$4)/(MAX('Raw Data'!I$2:'Raw Data'!I$352)-MIN('Raw Data'!I$2:'Raw Data'!I$352)),"")</f>
        <v/>
      </c>
      <c r="G336" s="52">
        <f ca="1">IF(Bracket!$I$1="Composite",AVERAGE(B336:F336),IF(Bracket!$I$1="Kenpom",B336,IF(Bracket!$I$1="PVA",C336,IF(Bracket!$I$1="Sagarin Predictor",D336,IF(Bracket!$I$1="No Preseason",AVERAGE(B336:D336),"")))))</f>
        <v>57.308797422214944</v>
      </c>
      <c r="H336" s="63">
        <f t="shared" ca="1" si="5"/>
        <v>338</v>
      </c>
      <c r="I336" s="52"/>
      <c r="J336" s="52"/>
      <c r="K336" s="52"/>
    </row>
    <row r="337" spans="1:11" x14ac:dyDescent="0.3">
      <c r="A337" s="52" t="str">
        <f>'Raw Data'!A337</f>
        <v>McNeese State</v>
      </c>
      <c r="B337" s="52">
        <f ca="1">'Raw Data'!B337*($K$2/_xlfn.STDEV.P('Raw Data'!B$2:'Raw Data'!B$352)) + ($J$2-($K$2/_xlfn.STDEV.P('Raw Data'!B$2:'Raw Data'!B$352))*AVERAGE('Raw Data'!B$2:'Raw Data'!B$352))</f>
        <v>58.939494653974585</v>
      </c>
      <c r="C337" s="52">
        <f ca="1">'Raw Data'!C337*($K$2/_xlfn.STDEV.P('Raw Data'!C$2:'Raw Data'!C$352)) + ($J$2-($K$2/_xlfn.STDEV.P('Raw Data'!C$2:'Raw Data'!C$352))*AVERAGE('Raw Data'!C$2:'Raw Data'!C$352))</f>
        <v>57.685668650327685</v>
      </c>
      <c r="D337" s="52">
        <f ca="1">'Raw Data'!D337*($K$2/_xlfn.STDEV.P('Raw Data'!D$2:'Raw Data'!D$352)) + ($J$2-($K$2/_xlfn.STDEV.P('Raw Data'!D$2:'Raw Data'!D$352))*AVERAGE('Raw Data'!D$2:'Raw Data'!D$352))</f>
        <v>59.29</v>
      </c>
      <c r="E337" s="52" t="str">
        <f ca="1">IFERROR($J$4+('Raw Data'!H337-MIN('Raw Data'!H$2:'Raw Data'!H$352))*($J$3-$J$4)/(MAX('Raw Data'!H$2:'Raw Data'!H$352)-MIN('Raw Data'!H$2:'Raw Data'!H$352)),"")</f>
        <v/>
      </c>
      <c r="F337" s="52" t="str">
        <f ca="1">IFERROR($J$4+('Raw Data'!I337-MIN('Raw Data'!I$2:'Raw Data'!I$352))*($J$3-$J$4)/(MAX('Raw Data'!I$2:'Raw Data'!I$352)-MIN('Raw Data'!I$2:'Raw Data'!I$352)),"")</f>
        <v/>
      </c>
      <c r="G337" s="52">
        <f ca="1">IF(Bracket!$I$1="Composite",AVERAGE(B337:F337),IF(Bracket!$I$1="Kenpom",B337,IF(Bracket!$I$1="PVA",C337,IF(Bracket!$I$1="Sagarin Predictor",D337,IF(Bracket!$I$1="No Preseason",AVERAGE(B337:D337),"")))))</f>
        <v>58.638387768100756</v>
      </c>
      <c r="H337" s="63">
        <f t="shared" ca="1" si="5"/>
        <v>333</v>
      </c>
      <c r="I337" s="52"/>
      <c r="J337" s="52"/>
      <c r="K337" s="52"/>
    </row>
    <row r="338" spans="1:11" x14ac:dyDescent="0.3">
      <c r="A338" s="52" t="str">
        <f>'Raw Data'!A338</f>
        <v>Bradley</v>
      </c>
      <c r="B338" s="52">
        <f ca="1">'Raw Data'!B338*($K$2/_xlfn.STDEV.P('Raw Data'!B$2:'Raw Data'!B$352)) + ($J$2-($K$2/_xlfn.STDEV.P('Raw Data'!B$2:'Raw Data'!B$352))*AVERAGE('Raw Data'!B$2:'Raw Data'!B$352))</f>
        <v>58.13234404806596</v>
      </c>
      <c r="C338" s="52">
        <f ca="1">'Raw Data'!C338*($K$2/_xlfn.STDEV.P('Raw Data'!C$2:'Raw Data'!C$352)) + ($J$2-($K$2/_xlfn.STDEV.P('Raw Data'!C$2:'Raw Data'!C$352))*AVERAGE('Raw Data'!C$2:'Raw Data'!C$352))</f>
        <v>59.62430453428378</v>
      </c>
      <c r="D338" s="52">
        <f ca="1">'Raw Data'!D338*($K$2/_xlfn.STDEV.P('Raw Data'!D$2:'Raw Data'!D$352)) + ($J$2-($K$2/_xlfn.STDEV.P('Raw Data'!D$2:'Raw Data'!D$352))*AVERAGE('Raw Data'!D$2:'Raw Data'!D$352))</f>
        <v>60.51</v>
      </c>
      <c r="E338" s="52" t="str">
        <f ca="1">IFERROR($J$4+('Raw Data'!H338-MIN('Raw Data'!H$2:'Raw Data'!H$352))*($J$3-$J$4)/(MAX('Raw Data'!H$2:'Raw Data'!H$352)-MIN('Raw Data'!H$2:'Raw Data'!H$352)),"")</f>
        <v/>
      </c>
      <c r="F338" s="52" t="str">
        <f ca="1">IFERROR($J$4+('Raw Data'!I338-MIN('Raw Data'!I$2:'Raw Data'!I$352))*($J$3-$J$4)/(MAX('Raw Data'!I$2:'Raw Data'!I$352)-MIN('Raw Data'!I$2:'Raw Data'!I$352)),"")</f>
        <v/>
      </c>
      <c r="G338" s="52">
        <f ca="1">IF(Bracket!$I$1="Composite",AVERAGE(B338:F338),IF(Bracket!$I$1="Kenpom",B338,IF(Bracket!$I$1="PVA",C338,IF(Bracket!$I$1="Sagarin Predictor",D338,IF(Bracket!$I$1="No Preseason",AVERAGE(B338:D338),"")))))</f>
        <v>59.422216194116579</v>
      </c>
      <c r="H338" s="63">
        <f t="shared" ca="1" si="5"/>
        <v>327</v>
      </c>
      <c r="I338" s="52"/>
      <c r="J338" s="52"/>
      <c r="K338" s="52"/>
    </row>
    <row r="339" spans="1:11" x14ac:dyDescent="0.3">
      <c r="A339" s="52" t="str">
        <f>'Raw Data'!A339</f>
        <v>Nicholls State</v>
      </c>
      <c r="B339" s="52">
        <f ca="1">'Raw Data'!B339*($K$2/_xlfn.STDEV.P('Raw Data'!B$2:'Raw Data'!B$352)) + ($J$2-($K$2/_xlfn.STDEV.P('Raw Data'!B$2:'Raw Data'!B$352))*AVERAGE('Raw Data'!B$2:'Raw Data'!B$352))</f>
        <v>59.37324381135538</v>
      </c>
      <c r="C339" s="52">
        <f ca="1">'Raw Data'!C339*($K$2/_xlfn.STDEV.P('Raw Data'!C$2:'Raw Data'!C$352)) + ($J$2-($K$2/_xlfn.STDEV.P('Raw Data'!C$2:'Raw Data'!C$352))*AVERAGE('Raw Data'!C$2:'Raw Data'!C$352))</f>
        <v>59.236577357492564</v>
      </c>
      <c r="D339" s="52">
        <f ca="1">'Raw Data'!D339*($K$2/_xlfn.STDEV.P('Raw Data'!D$2:'Raw Data'!D$352)) + ($J$2-($K$2/_xlfn.STDEV.P('Raw Data'!D$2:'Raw Data'!D$352))*AVERAGE('Raw Data'!D$2:'Raw Data'!D$352))</f>
        <v>57.77</v>
      </c>
      <c r="E339" s="52" t="str">
        <f ca="1">IFERROR($J$4+('Raw Data'!H339-MIN('Raw Data'!H$2:'Raw Data'!H$352))*($J$3-$J$4)/(MAX('Raw Data'!H$2:'Raw Data'!H$352)-MIN('Raw Data'!H$2:'Raw Data'!H$352)),"")</f>
        <v/>
      </c>
      <c r="F339" s="52" t="str">
        <f ca="1">IFERROR($J$4+('Raw Data'!I339-MIN('Raw Data'!I$2:'Raw Data'!I$352))*($J$3-$J$4)/(MAX('Raw Data'!I$2:'Raw Data'!I$352)-MIN('Raw Data'!I$2:'Raw Data'!I$352)),"")</f>
        <v/>
      </c>
      <c r="G339" s="52">
        <f ca="1">IF(Bracket!$I$1="Composite",AVERAGE(B339:F339),IF(Bracket!$I$1="Kenpom",B339,IF(Bracket!$I$1="PVA",C339,IF(Bracket!$I$1="Sagarin Predictor",D339,IF(Bracket!$I$1="No Preseason",AVERAGE(B339:D339),"")))))</f>
        <v>58.793273722949316</v>
      </c>
      <c r="H339" s="63">
        <f t="shared" ca="1" si="5"/>
        <v>332</v>
      </c>
      <c r="I339" s="52"/>
      <c r="J339" s="52"/>
      <c r="K339" s="52"/>
    </row>
    <row r="340" spans="1:11" x14ac:dyDescent="0.3">
      <c r="A340" s="52" t="str">
        <f>'Raw Data'!A340</f>
        <v>N Arizona</v>
      </c>
      <c r="B340" s="52">
        <f ca="1">'Raw Data'!B340*($K$2/_xlfn.STDEV.P('Raw Data'!B$2:'Raw Data'!B$352)) + ($J$2-($K$2/_xlfn.STDEV.P('Raw Data'!B$2:'Raw Data'!B$352))*AVERAGE('Raw Data'!B$2:'Raw Data'!B$352))</f>
        <v>57.396856346420257</v>
      </c>
      <c r="C340" s="52">
        <f ca="1">'Raw Data'!C340*($K$2/_xlfn.STDEV.P('Raw Data'!C$2:'Raw Data'!C$352)) + ($J$2-($K$2/_xlfn.STDEV.P('Raw Data'!C$2:'Raw Data'!C$352))*AVERAGE('Raw Data'!C$2:'Raw Data'!C$352))</f>
        <v>57.814911042591426</v>
      </c>
      <c r="D340" s="52">
        <f ca="1">'Raw Data'!D340*($K$2/_xlfn.STDEV.P('Raw Data'!D$2:'Raw Data'!D$352)) + ($J$2-($K$2/_xlfn.STDEV.P('Raw Data'!D$2:'Raw Data'!D$352))*AVERAGE('Raw Data'!D$2:'Raw Data'!D$352))</f>
        <v>56.15</v>
      </c>
      <c r="E340" s="52" t="str">
        <f ca="1">IFERROR($J$4+('Raw Data'!H340-MIN('Raw Data'!H$2:'Raw Data'!H$352))*($J$3-$J$4)/(MAX('Raw Data'!H$2:'Raw Data'!H$352)-MIN('Raw Data'!H$2:'Raw Data'!H$352)),"")</f>
        <v/>
      </c>
      <c r="F340" s="52" t="str">
        <f ca="1">IFERROR($J$4+('Raw Data'!I340-MIN('Raw Data'!I$2:'Raw Data'!I$352))*($J$3-$J$4)/(MAX('Raw Data'!I$2:'Raw Data'!I$352)-MIN('Raw Data'!I$2:'Raw Data'!I$352)),"")</f>
        <v/>
      </c>
      <c r="G340" s="52">
        <f ca="1">IF(Bracket!$I$1="Composite",AVERAGE(B340:F340),IF(Bracket!$I$1="Kenpom",B340,IF(Bracket!$I$1="PVA",C340,IF(Bracket!$I$1="Sagarin Predictor",D340,IF(Bracket!$I$1="No Preseason",AVERAGE(B340:D340),"")))))</f>
        <v>57.120589129670556</v>
      </c>
      <c r="H340" s="63">
        <f t="shared" ca="1" si="5"/>
        <v>341</v>
      </c>
      <c r="I340" s="52"/>
      <c r="J340" s="52"/>
      <c r="K340" s="52"/>
    </row>
    <row r="341" spans="1:11" x14ac:dyDescent="0.3">
      <c r="A341" s="52" t="str">
        <f>'Raw Data'!A341</f>
        <v>SE Missouri St</v>
      </c>
      <c r="B341" s="52">
        <f ca="1">'Raw Data'!B341*($K$2/_xlfn.STDEV.P('Raw Data'!B$2:'Raw Data'!B$352)) + ($J$2-($K$2/_xlfn.STDEV.P('Raw Data'!B$2:'Raw Data'!B$352))*AVERAGE('Raw Data'!B$2:'Raw Data'!B$352))</f>
        <v>57.675964499865294</v>
      </c>
      <c r="C341" s="52">
        <f ca="1">'Raw Data'!C341*($K$2/_xlfn.STDEV.P('Raw Data'!C$2:'Raw Data'!C$352)) + ($J$2-($K$2/_xlfn.STDEV.P('Raw Data'!C$2:'Raw Data'!C$352))*AVERAGE('Raw Data'!C$2:'Raw Data'!C$352))</f>
        <v>57.039456689008986</v>
      </c>
      <c r="D341" s="52">
        <f ca="1">'Raw Data'!D341*($K$2/_xlfn.STDEV.P('Raw Data'!D$2:'Raw Data'!D$352)) + ($J$2-($K$2/_xlfn.STDEV.P('Raw Data'!D$2:'Raw Data'!D$352))*AVERAGE('Raw Data'!D$2:'Raw Data'!D$352))</f>
        <v>57.79</v>
      </c>
      <c r="E341" s="52" t="str">
        <f ca="1">IFERROR($J$4+('Raw Data'!H341-MIN('Raw Data'!H$2:'Raw Data'!H$352))*($J$3-$J$4)/(MAX('Raw Data'!H$2:'Raw Data'!H$352)-MIN('Raw Data'!H$2:'Raw Data'!H$352)),"")</f>
        <v/>
      </c>
      <c r="F341" s="52" t="str">
        <f ca="1">IFERROR($J$4+('Raw Data'!I341-MIN('Raw Data'!I$2:'Raw Data'!I$352))*($J$3-$J$4)/(MAX('Raw Data'!I$2:'Raw Data'!I$352)-MIN('Raw Data'!I$2:'Raw Data'!I$352)),"")</f>
        <v/>
      </c>
      <c r="G341" s="52">
        <f ca="1">IF(Bracket!$I$1="Composite",AVERAGE(B341:F341),IF(Bracket!$I$1="Kenpom",B341,IF(Bracket!$I$1="PVA",C341,IF(Bracket!$I$1="Sagarin Predictor",D341,IF(Bracket!$I$1="No Preseason",AVERAGE(B341:D341),"")))))</f>
        <v>57.501807062958086</v>
      </c>
      <c r="H341" s="63">
        <f t="shared" ca="1" si="5"/>
        <v>336</v>
      </c>
      <c r="I341" s="52"/>
      <c r="J341" s="52"/>
      <c r="K341" s="52"/>
    </row>
    <row r="342" spans="1:11" x14ac:dyDescent="0.3">
      <c r="A342" s="52" t="str">
        <f>'Raw Data'!A342</f>
        <v>Southern Utah</v>
      </c>
      <c r="B342" s="52">
        <f ca="1">'Raw Data'!B342*($K$2/_xlfn.STDEV.P('Raw Data'!B$2:'Raw Data'!B$352)) + ($J$2-($K$2/_xlfn.STDEV.P('Raw Data'!B$2:'Raw Data'!B$352))*AVERAGE('Raw Data'!B$2:'Raw Data'!B$352))</f>
        <v>57.887181480850728</v>
      </c>
      <c r="C342" s="52">
        <f ca="1">'Raw Data'!C342*($K$2/_xlfn.STDEV.P('Raw Data'!C$2:'Raw Data'!C$352)) + ($J$2-($K$2/_xlfn.STDEV.P('Raw Data'!C$2:'Raw Data'!C$352))*AVERAGE('Raw Data'!C$2:'Raw Data'!C$352))</f>
        <v>57.168699081272727</v>
      </c>
      <c r="D342" s="52">
        <f ca="1">'Raw Data'!D342*($K$2/_xlfn.STDEV.P('Raw Data'!D$2:'Raw Data'!D$352)) + ($J$2-($K$2/_xlfn.STDEV.P('Raw Data'!D$2:'Raw Data'!D$352))*AVERAGE('Raw Data'!D$2:'Raw Data'!D$352))</f>
        <v>56.8</v>
      </c>
      <c r="E342" s="52" t="str">
        <f ca="1">IFERROR($J$4+('Raw Data'!H342-MIN('Raw Data'!H$2:'Raw Data'!H$352))*($J$3-$J$4)/(MAX('Raw Data'!H$2:'Raw Data'!H$352)-MIN('Raw Data'!H$2:'Raw Data'!H$352)),"")</f>
        <v/>
      </c>
      <c r="F342" s="52" t="str">
        <f ca="1">IFERROR($J$4+('Raw Data'!I342-MIN('Raw Data'!I$2:'Raw Data'!I$352))*($J$3-$J$4)/(MAX('Raw Data'!I$2:'Raw Data'!I$352)-MIN('Raw Data'!I$2:'Raw Data'!I$352)),"")</f>
        <v/>
      </c>
      <c r="G342" s="52">
        <f ca="1">IF(Bracket!$I$1="Composite",AVERAGE(B342:F342),IF(Bracket!$I$1="Kenpom",B342,IF(Bracket!$I$1="PVA",C342,IF(Bracket!$I$1="Sagarin Predictor",D342,IF(Bracket!$I$1="No Preseason",AVERAGE(B342:D342),"")))))</f>
        <v>57.285293520707818</v>
      </c>
      <c r="H342" s="63">
        <f t="shared" ca="1" si="5"/>
        <v>339</v>
      </c>
      <c r="I342" s="52"/>
      <c r="J342" s="52"/>
      <c r="K342" s="52"/>
    </row>
    <row r="343" spans="1:11" x14ac:dyDescent="0.3">
      <c r="A343" s="52" t="str">
        <f>'Raw Data'!A343</f>
        <v>Mississippi Valley St</v>
      </c>
      <c r="B343" s="52">
        <f ca="1">'Raw Data'!B343*($K$2/_xlfn.STDEV.P('Raw Data'!B$2:'Raw Data'!B$352)) + ($J$2-($K$2/_xlfn.STDEV.P('Raw Data'!B$2:'Raw Data'!B$352))*AVERAGE('Raw Data'!B$2:'Raw Data'!B$352))</f>
        <v>57.943757457900396</v>
      </c>
      <c r="C343" s="52">
        <f ca="1">'Raw Data'!C343*($K$2/_xlfn.STDEV.P('Raw Data'!C$2:'Raw Data'!C$352)) + ($J$2-($K$2/_xlfn.STDEV.P('Raw Data'!C$2:'Raw Data'!C$352))*AVERAGE('Raw Data'!C$2:'Raw Data'!C$352))</f>
        <v>55.230063197316632</v>
      </c>
      <c r="D343" s="52">
        <f ca="1">'Raw Data'!D343*($K$2/_xlfn.STDEV.P('Raw Data'!D$2:'Raw Data'!D$352)) + ($J$2-($K$2/_xlfn.STDEV.P('Raw Data'!D$2:'Raw Data'!D$352))*AVERAGE('Raw Data'!D$2:'Raw Data'!D$352))</f>
        <v>54.98</v>
      </c>
      <c r="E343" s="52" t="str">
        <f ca="1">IFERROR($J$4+('Raw Data'!H343-MIN('Raw Data'!H$2:'Raw Data'!H$352))*($J$3-$J$4)/(MAX('Raw Data'!H$2:'Raw Data'!H$352)-MIN('Raw Data'!H$2:'Raw Data'!H$352)),"")</f>
        <v/>
      </c>
      <c r="F343" s="52" t="str">
        <f ca="1">IFERROR($J$4+('Raw Data'!I343-MIN('Raw Data'!I$2:'Raw Data'!I$352))*($J$3-$J$4)/(MAX('Raw Data'!I$2:'Raw Data'!I$352)-MIN('Raw Data'!I$2:'Raw Data'!I$352)),"")</f>
        <v/>
      </c>
      <c r="G343" s="52">
        <f ca="1">IF(Bracket!$I$1="Composite",AVERAGE(B343:F343),IF(Bracket!$I$1="Kenpom",B343,IF(Bracket!$I$1="PVA",C343,IF(Bracket!$I$1="Sagarin Predictor",D343,IF(Bracket!$I$1="No Preseason",AVERAGE(B343:D343),"")))))</f>
        <v>56.051273551739008</v>
      </c>
      <c r="H343" s="63">
        <f t="shared" ca="1" si="5"/>
        <v>344</v>
      </c>
      <c r="I343" s="52"/>
      <c r="J343" s="52"/>
      <c r="K343" s="52"/>
    </row>
    <row r="344" spans="1:11" x14ac:dyDescent="0.3">
      <c r="A344" s="52" t="str">
        <f>'Raw Data'!A344</f>
        <v>Chicago State</v>
      </c>
      <c r="B344" s="52">
        <f ca="1">'Raw Data'!B344*($K$2/_xlfn.STDEV.P('Raw Data'!B$2:'Raw Data'!B$352)) + ($J$2-($K$2/_xlfn.STDEV.P('Raw Data'!B$2:'Raw Data'!B$352))*AVERAGE('Raw Data'!B$2:'Raw Data'!B$352))</f>
        <v>55.967369992965274</v>
      </c>
      <c r="C344" s="52">
        <f ca="1">'Raw Data'!C344*($K$2/_xlfn.STDEV.P('Raw Data'!C$2:'Raw Data'!C$352)) + ($J$2-($K$2/_xlfn.STDEV.P('Raw Data'!C$2:'Raw Data'!C$352))*AVERAGE('Raw Data'!C$2:'Raw Data'!C$352))</f>
        <v>56.134759943162805</v>
      </c>
      <c r="D344" s="52">
        <f ca="1">'Raw Data'!D344*($K$2/_xlfn.STDEV.P('Raw Data'!D$2:'Raw Data'!D$352)) + ($J$2-($K$2/_xlfn.STDEV.P('Raw Data'!D$2:'Raw Data'!D$352))*AVERAGE('Raw Data'!D$2:'Raw Data'!D$352))</f>
        <v>55.64</v>
      </c>
      <c r="E344" s="52" t="str">
        <f ca="1">IFERROR($J$4+('Raw Data'!H344-MIN('Raw Data'!H$2:'Raw Data'!H$352))*($J$3-$J$4)/(MAX('Raw Data'!H$2:'Raw Data'!H$352)-MIN('Raw Data'!H$2:'Raw Data'!H$352)),"")</f>
        <v/>
      </c>
      <c r="F344" s="52" t="str">
        <f ca="1">IFERROR($J$4+('Raw Data'!I344-MIN('Raw Data'!I$2:'Raw Data'!I$352))*($J$3-$J$4)/(MAX('Raw Data'!I$2:'Raw Data'!I$352)-MIN('Raw Data'!I$2:'Raw Data'!I$352)),"")</f>
        <v/>
      </c>
      <c r="G344" s="52">
        <f ca="1">IF(Bracket!$I$1="Composite",AVERAGE(B344:F344),IF(Bracket!$I$1="Kenpom",B344,IF(Bracket!$I$1="PVA",C344,IF(Bracket!$I$1="Sagarin Predictor",D344,IF(Bracket!$I$1="No Preseason",AVERAGE(B344:D344),"")))))</f>
        <v>55.914043312042701</v>
      </c>
      <c r="H344" s="63">
        <f t="shared" ca="1" si="5"/>
        <v>345</v>
      </c>
      <c r="I344" s="52"/>
      <c r="J344" s="52"/>
      <c r="K344" s="52"/>
    </row>
    <row r="345" spans="1:11" x14ac:dyDescent="0.3">
      <c r="A345" s="52" t="str">
        <f>'Raw Data'!A345</f>
        <v>Prarie View A&amp;M</v>
      </c>
      <c r="B345" s="52">
        <f ca="1">'Raw Data'!B345*($K$2/_xlfn.STDEV.P('Raw Data'!B$2:'Raw Data'!B$352)) + ($J$2-($K$2/_xlfn.STDEV.P('Raw Data'!B$2:'Raw Data'!B$352))*AVERAGE('Raw Data'!B$2:'Raw Data'!B$352))</f>
        <v>58.29830024741166</v>
      </c>
      <c r="C345" s="52">
        <f ca="1">'Raw Data'!C345*($K$2/_xlfn.STDEV.P('Raw Data'!C$2:'Raw Data'!C$352)) + ($J$2-($K$2/_xlfn.STDEV.P('Raw Data'!C$2:'Raw Data'!C$352))*AVERAGE('Raw Data'!C$2:'Raw Data'!C$352))</f>
        <v>56.393244727690288</v>
      </c>
      <c r="D345" s="52">
        <f ca="1">'Raw Data'!D345*($K$2/_xlfn.STDEV.P('Raw Data'!D$2:'Raw Data'!D$352)) + ($J$2-($K$2/_xlfn.STDEV.P('Raw Data'!D$2:'Raw Data'!D$352))*AVERAGE('Raw Data'!D$2:'Raw Data'!D$352))</f>
        <v>56.73</v>
      </c>
      <c r="E345" s="52" t="str">
        <f ca="1">IFERROR($J$4+('Raw Data'!H345-MIN('Raw Data'!H$2:'Raw Data'!H$352))*($J$3-$J$4)/(MAX('Raw Data'!H$2:'Raw Data'!H$352)-MIN('Raw Data'!H$2:'Raw Data'!H$352)),"")</f>
        <v/>
      </c>
      <c r="F345" s="52" t="str">
        <f ca="1">IFERROR($J$4+('Raw Data'!I345-MIN('Raw Data'!I$2:'Raw Data'!I$352))*($J$3-$J$4)/(MAX('Raw Data'!I$2:'Raw Data'!I$352)-MIN('Raw Data'!I$2:'Raw Data'!I$352)),"")</f>
        <v/>
      </c>
      <c r="G345" s="52">
        <f ca="1">IF(Bracket!$I$1="Composite",AVERAGE(B345:F345),IF(Bracket!$I$1="Kenpom",B345,IF(Bracket!$I$1="PVA",C345,IF(Bracket!$I$1="Sagarin Predictor",D345,IF(Bracket!$I$1="No Preseason",AVERAGE(B345:D345),"")))))</f>
        <v>57.140514991700648</v>
      </c>
      <c r="H345" s="63">
        <f t="shared" ca="1" si="5"/>
        <v>340</v>
      </c>
      <c r="I345" s="52"/>
      <c r="J345" s="52"/>
      <c r="K345" s="52"/>
    </row>
    <row r="346" spans="1:11" x14ac:dyDescent="0.3">
      <c r="A346" s="52" t="str">
        <f>'Raw Data'!A346</f>
        <v>Bryant</v>
      </c>
      <c r="B346" s="52">
        <f ca="1">'Raw Data'!B346*($K$2/_xlfn.STDEV.P('Raw Data'!B$2:'Raw Data'!B$352)) + ($J$2-($K$2/_xlfn.STDEV.P('Raw Data'!B$2:'Raw Data'!B$352))*AVERAGE('Raw Data'!B$2:'Raw Data'!B$352))</f>
        <v>57.061172215925552</v>
      </c>
      <c r="C346" s="52">
        <f ca="1">'Raw Data'!C346*($K$2/_xlfn.STDEV.P('Raw Data'!C$2:'Raw Data'!C$352)) + ($J$2-($K$2/_xlfn.STDEV.P('Raw Data'!C$2:'Raw Data'!C$352))*AVERAGE('Raw Data'!C$2:'Raw Data'!C$352))</f>
        <v>56.264002335426547</v>
      </c>
      <c r="D346" s="52">
        <f ca="1">'Raw Data'!D346*($K$2/_xlfn.STDEV.P('Raw Data'!D$2:'Raw Data'!D$352)) + ($J$2-($K$2/_xlfn.STDEV.P('Raw Data'!D$2:'Raw Data'!D$352))*AVERAGE('Raw Data'!D$2:'Raw Data'!D$352))</f>
        <v>56.41</v>
      </c>
      <c r="E346" s="52" t="str">
        <f ca="1">IFERROR($J$4+('Raw Data'!H346-MIN('Raw Data'!H$2:'Raw Data'!H$352))*($J$3-$J$4)/(MAX('Raw Data'!H$2:'Raw Data'!H$352)-MIN('Raw Data'!H$2:'Raw Data'!H$352)),"")</f>
        <v/>
      </c>
      <c r="F346" s="52" t="str">
        <f ca="1">IFERROR($J$4+('Raw Data'!I346-MIN('Raw Data'!I$2:'Raw Data'!I$352))*($J$3-$J$4)/(MAX('Raw Data'!I$2:'Raw Data'!I$352)-MIN('Raw Data'!I$2:'Raw Data'!I$352)),"")</f>
        <v/>
      </c>
      <c r="G346" s="52">
        <f ca="1">IF(Bracket!$I$1="Composite",AVERAGE(B346:F346),IF(Bracket!$I$1="Kenpom",B346,IF(Bracket!$I$1="PVA",C346,IF(Bracket!$I$1="Sagarin Predictor",D346,IF(Bracket!$I$1="No Preseason",AVERAGE(B346:D346),"")))))</f>
        <v>56.57839151711736</v>
      </c>
      <c r="H346" s="63">
        <f t="shared" ca="1" si="5"/>
        <v>343</v>
      </c>
      <c r="I346" s="52"/>
      <c r="J346" s="52"/>
      <c r="K346" s="52"/>
    </row>
    <row r="347" spans="1:11" x14ac:dyDescent="0.3">
      <c r="A347" s="52" t="str">
        <f>'Raw Data'!A347</f>
        <v>UT Rio Grande</v>
      </c>
      <c r="B347" s="52">
        <f ca="1">'Raw Data'!B347*($K$2/_xlfn.STDEV.P('Raw Data'!B$2:'Raw Data'!B$352)) + ($J$2-($K$2/_xlfn.STDEV.P('Raw Data'!B$2:'Raw Data'!B$352))*AVERAGE('Raw Data'!B$2:'Raw Data'!B$352))</f>
        <v>56.619879594938126</v>
      </c>
      <c r="C347" s="52">
        <f ca="1">'Raw Data'!C347*($K$2/_xlfn.STDEV.P('Raw Data'!C$2:'Raw Data'!C$352)) + ($J$2-($K$2/_xlfn.STDEV.P('Raw Data'!C$2:'Raw Data'!C$352))*AVERAGE('Raw Data'!C$2:'Raw Data'!C$352))</f>
        <v>55.100820805052891</v>
      </c>
      <c r="D347" s="52">
        <f ca="1">'Raw Data'!D347*($K$2/_xlfn.STDEV.P('Raw Data'!D$2:'Raw Data'!D$352)) + ($J$2-($K$2/_xlfn.STDEV.P('Raw Data'!D$2:'Raw Data'!D$352))*AVERAGE('Raw Data'!D$2:'Raw Data'!D$352))</f>
        <v>55.81</v>
      </c>
      <c r="E347" s="52" t="str">
        <f ca="1">IFERROR($J$4+('Raw Data'!H347-MIN('Raw Data'!H$2:'Raw Data'!H$352))*($J$3-$J$4)/(MAX('Raw Data'!H$2:'Raw Data'!H$352)-MIN('Raw Data'!H$2:'Raw Data'!H$352)),"")</f>
        <v/>
      </c>
      <c r="F347" s="52" t="str">
        <f ca="1">IFERROR($J$4+('Raw Data'!I347-MIN('Raw Data'!I$2:'Raw Data'!I$352))*($J$3-$J$4)/(MAX('Raw Data'!I$2:'Raw Data'!I$352)-MIN('Raw Data'!I$2:'Raw Data'!I$352)),"")</f>
        <v/>
      </c>
      <c r="G347" s="52">
        <f ca="1">IF(Bracket!$I$1="Composite",AVERAGE(B347:F347),IF(Bracket!$I$1="Kenpom",B347,IF(Bracket!$I$1="PVA",C347,IF(Bracket!$I$1="Sagarin Predictor",D347,IF(Bracket!$I$1="No Preseason",AVERAGE(B347:D347),"")))))</f>
        <v>55.843566799997006</v>
      </c>
      <c r="H347" s="63">
        <f t="shared" ca="1" si="5"/>
        <v>346</v>
      </c>
      <c r="I347" s="52"/>
      <c r="J347" s="52"/>
      <c r="K347" s="52"/>
    </row>
    <row r="348" spans="1:11" x14ac:dyDescent="0.3">
      <c r="A348" s="52" t="str">
        <f>'Raw Data'!A348</f>
        <v>AR Pine Bluff</v>
      </c>
      <c r="B348" s="52">
        <f ca="1">'Raw Data'!B348*($K$2/_xlfn.STDEV.P('Raw Data'!B$2:'Raw Data'!B$352)) + ($J$2-($K$2/_xlfn.STDEV.P('Raw Data'!B$2:'Raw Data'!B$352))*AVERAGE('Raw Data'!B$2:'Raw Data'!B$352))</f>
        <v>57.027226629695747</v>
      </c>
      <c r="C348" s="52">
        <f ca="1">'Raw Data'!C348*($K$2/_xlfn.STDEV.P('Raw Data'!C$2:'Raw Data'!C$352)) + ($J$2-($K$2/_xlfn.STDEV.P('Raw Data'!C$2:'Raw Data'!C$352))*AVERAGE('Raw Data'!C$2:'Raw Data'!C$352))</f>
        <v>55.230063197316632</v>
      </c>
      <c r="D348" s="52">
        <f ca="1">'Raw Data'!D348*($K$2/_xlfn.STDEV.P('Raw Data'!D$2:'Raw Data'!D$352)) + ($J$2-($K$2/_xlfn.STDEV.P('Raw Data'!D$2:'Raw Data'!D$352))*AVERAGE('Raw Data'!D$2:'Raw Data'!D$352))</f>
        <v>54.97</v>
      </c>
      <c r="E348" s="52" t="str">
        <f ca="1">IFERROR($J$4+('Raw Data'!H348-MIN('Raw Data'!H$2:'Raw Data'!H$352))*($J$3-$J$4)/(MAX('Raw Data'!H$2:'Raw Data'!H$352)-MIN('Raw Data'!H$2:'Raw Data'!H$352)),"")</f>
        <v/>
      </c>
      <c r="F348" s="52" t="str">
        <f ca="1">IFERROR($J$4+('Raw Data'!I348-MIN('Raw Data'!I$2:'Raw Data'!I$352))*($J$3-$J$4)/(MAX('Raw Data'!I$2:'Raw Data'!I$352)-MIN('Raw Data'!I$2:'Raw Data'!I$352)),"")</f>
        <v/>
      </c>
      <c r="G348" s="52">
        <f ca="1">IF(Bracket!$I$1="Composite",AVERAGE(B348:F348),IF(Bracket!$I$1="Kenpom",B348,IF(Bracket!$I$1="PVA",C348,IF(Bracket!$I$1="Sagarin Predictor",D348,IF(Bracket!$I$1="No Preseason",AVERAGE(B348:D348),"")))))</f>
        <v>55.742429942337459</v>
      </c>
      <c r="H348" s="63">
        <f t="shared" ca="1" si="5"/>
        <v>347</v>
      </c>
      <c r="I348" s="52"/>
      <c r="J348" s="52"/>
      <c r="K348" s="52"/>
    </row>
    <row r="349" spans="1:11" x14ac:dyDescent="0.3">
      <c r="A349" s="52" t="str">
        <f>'Raw Data'!A349</f>
        <v>Delaware State</v>
      </c>
      <c r="B349" s="52">
        <f ca="1">'Raw Data'!B349*($K$2/_xlfn.STDEV.P('Raw Data'!B$2:'Raw Data'!B$352)) + ($J$2-($K$2/_xlfn.STDEV.P('Raw Data'!B$2:'Raw Data'!B$352))*AVERAGE('Raw Data'!B$2:'Raw Data'!B$352))</f>
        <v>56.103152337884481</v>
      </c>
      <c r="C349" s="52">
        <f ca="1">'Raw Data'!C349*($K$2/_xlfn.STDEV.P('Raw Data'!C$2:'Raw Data'!C$352)) + ($J$2-($K$2/_xlfn.STDEV.P('Raw Data'!C$2:'Raw Data'!C$352))*AVERAGE('Raw Data'!C$2:'Raw Data'!C$352))</f>
        <v>54.19612405920671</v>
      </c>
      <c r="D349" s="52">
        <f ca="1">'Raw Data'!D349*($K$2/_xlfn.STDEV.P('Raw Data'!D$2:'Raw Data'!D$352)) + ($J$2-($K$2/_xlfn.STDEV.P('Raw Data'!D$2:'Raw Data'!D$352))*AVERAGE('Raw Data'!D$2:'Raw Data'!D$352))</f>
        <v>53.46</v>
      </c>
      <c r="E349" s="52" t="str">
        <f ca="1">IFERROR($J$4+('Raw Data'!H349-MIN('Raw Data'!H$2:'Raw Data'!H$352))*($J$3-$J$4)/(MAX('Raw Data'!H$2:'Raw Data'!H$352)-MIN('Raw Data'!H$2:'Raw Data'!H$352)),"")</f>
        <v/>
      </c>
      <c r="F349" s="52" t="str">
        <f ca="1">IFERROR($J$4+('Raw Data'!I349-MIN('Raw Data'!I$2:'Raw Data'!I$352))*($J$3-$J$4)/(MAX('Raw Data'!I$2:'Raw Data'!I$352)-MIN('Raw Data'!I$2:'Raw Data'!I$352)),"")</f>
        <v/>
      </c>
      <c r="G349" s="52">
        <f ca="1">IF(Bracket!$I$1="Composite",AVERAGE(B349:F349),IF(Bracket!$I$1="Kenpom",B349,IF(Bracket!$I$1="PVA",C349,IF(Bracket!$I$1="Sagarin Predictor",D349,IF(Bracket!$I$1="No Preseason",AVERAGE(B349:D349),"")))))</f>
        <v>54.586425465697062</v>
      </c>
      <c r="H349" s="63">
        <f t="shared" ca="1" si="5"/>
        <v>349</v>
      </c>
      <c r="I349" s="52"/>
      <c r="J349" s="52"/>
      <c r="K349" s="52"/>
    </row>
    <row r="350" spans="1:11" x14ac:dyDescent="0.3">
      <c r="A350" s="52" t="str">
        <f>'Raw Data'!A350</f>
        <v>Grambling St</v>
      </c>
      <c r="B350" s="52">
        <f ca="1">'Raw Data'!B350*($K$2/_xlfn.STDEV.P('Raw Data'!B$2:'Raw Data'!B$352)) + ($J$2-($K$2/_xlfn.STDEV.P('Raw Data'!B$2:'Raw Data'!B$352))*AVERAGE('Raw Data'!B$2:'Raw Data'!B$352))</f>
        <v>56.83109657592356</v>
      </c>
      <c r="C350" s="52">
        <f ca="1">'Raw Data'!C350*($K$2/_xlfn.STDEV.P('Raw Data'!C$2:'Raw Data'!C$352)) + ($J$2-($K$2/_xlfn.STDEV.P('Raw Data'!C$2:'Raw Data'!C$352))*AVERAGE('Raw Data'!C$2:'Raw Data'!C$352))</f>
        <v>55.488547981844107</v>
      </c>
      <c r="D350" s="52">
        <f ca="1">'Raw Data'!D350*($K$2/_xlfn.STDEV.P('Raw Data'!D$2:'Raw Data'!D$352)) + ($J$2-($K$2/_xlfn.STDEV.P('Raw Data'!D$2:'Raw Data'!D$352))*AVERAGE('Raw Data'!D$2:'Raw Data'!D$352))</f>
        <v>54.25</v>
      </c>
      <c r="E350" s="52" t="str">
        <f ca="1">IFERROR($J$4+('Raw Data'!H350-MIN('Raw Data'!H$2:'Raw Data'!H$352))*($J$3-$J$4)/(MAX('Raw Data'!H$2:'Raw Data'!H$352)-MIN('Raw Data'!H$2:'Raw Data'!H$352)),"")</f>
        <v/>
      </c>
      <c r="F350" s="52" t="str">
        <f ca="1">IFERROR($J$4+('Raw Data'!I350-MIN('Raw Data'!I$2:'Raw Data'!I$352))*($J$3-$J$4)/(MAX('Raw Data'!I$2:'Raw Data'!I$352)-MIN('Raw Data'!I$2:'Raw Data'!I$352)),"")</f>
        <v/>
      </c>
      <c r="G350" s="52">
        <f ca="1">IF(Bracket!$I$1="Composite",AVERAGE(B350:F350),IF(Bracket!$I$1="Kenpom",B350,IF(Bracket!$I$1="PVA",C350,IF(Bracket!$I$1="Sagarin Predictor",D350,IF(Bracket!$I$1="No Preseason",AVERAGE(B350:D350),"")))))</f>
        <v>55.523214852589227</v>
      </c>
      <c r="H350" s="63">
        <f t="shared" ca="1" si="5"/>
        <v>348</v>
      </c>
      <c r="I350" s="52"/>
      <c r="J350" s="52"/>
      <c r="K350" s="52"/>
    </row>
    <row r="351" spans="1:11" x14ac:dyDescent="0.3">
      <c r="A351" s="52" t="str">
        <f>'Raw Data'!A351</f>
        <v>Florida A&amp;M</v>
      </c>
      <c r="B351" s="52">
        <f ca="1">'Raw Data'!B351*($K$2/_xlfn.STDEV.P('Raw Data'!B$2:'Raw Data'!B$352)) + ($J$2-($K$2/_xlfn.STDEV.P('Raw Data'!B$2:'Raw Data'!B$352))*AVERAGE('Raw Data'!B$2:'Raw Data'!B$352))</f>
        <v>55.835359379849379</v>
      </c>
      <c r="C351" s="52">
        <f ca="1">'Raw Data'!C351*($K$2/_xlfn.STDEV.P('Raw Data'!C$2:'Raw Data'!C$352)) + ($J$2-($K$2/_xlfn.STDEV.P('Raw Data'!C$2:'Raw Data'!C$352))*AVERAGE('Raw Data'!C$2:'Raw Data'!C$352))</f>
        <v>51.482033821668182</v>
      </c>
      <c r="D351" s="52">
        <f ca="1">'Raw Data'!D351*($K$2/_xlfn.STDEV.P('Raw Data'!D$2:'Raw Data'!D$352)) + ($J$2-($K$2/_xlfn.STDEV.P('Raw Data'!D$2:'Raw Data'!D$352))*AVERAGE('Raw Data'!D$2:'Raw Data'!D$352))</f>
        <v>52.75</v>
      </c>
      <c r="E351" s="52" t="str">
        <f ca="1">IFERROR($J$4+('Raw Data'!H351-MIN('Raw Data'!H$2:'Raw Data'!H$352))*($J$3-$J$4)/(MAX('Raw Data'!H$2:'Raw Data'!H$352)-MIN('Raw Data'!H$2:'Raw Data'!H$352)),"")</f>
        <v/>
      </c>
      <c r="F351" s="52" t="str">
        <f ca="1">IFERROR($J$4+('Raw Data'!I351-MIN('Raw Data'!I$2:'Raw Data'!I$352))*($J$3-$J$4)/(MAX('Raw Data'!I$2:'Raw Data'!I$352)-MIN('Raw Data'!I$2:'Raw Data'!I$352)),"")</f>
        <v/>
      </c>
      <c r="G351" s="52">
        <f ca="1">IF(Bracket!$I$1="Composite",AVERAGE(B351:F351),IF(Bracket!$I$1="Kenpom",B351,IF(Bracket!$I$1="PVA",C351,IF(Bracket!$I$1="Sagarin Predictor",D351,IF(Bracket!$I$1="No Preseason",AVERAGE(B351:D351),"")))))</f>
        <v>53.355797733839189</v>
      </c>
      <c r="H351" s="63">
        <f t="shared" ca="1" si="5"/>
        <v>350</v>
      </c>
      <c r="I351" s="52"/>
      <c r="J351" s="52"/>
      <c r="K351" s="52"/>
    </row>
    <row r="352" spans="1:11" x14ac:dyDescent="0.3">
      <c r="A352" s="52" t="str">
        <f>'Raw Data'!A352</f>
        <v>Central Connecticut St</v>
      </c>
      <c r="B352" s="52">
        <f ca="1">'Raw Data'!B352*($K$2/_xlfn.STDEV.P('Raw Data'!B$2:'Raw Data'!B$352)) + ($J$2-($K$2/_xlfn.STDEV.P('Raw Data'!B$2:'Raw Data'!B$352))*AVERAGE('Raw Data'!B$2:'Raw Data'!B$352))</f>
        <v>55.842902843456002</v>
      </c>
      <c r="C352" s="52">
        <f ca="1">'Raw Data'!C352*($K$2/_xlfn.STDEV.P('Raw Data'!C$2:'Raw Data'!C$352)) + ($J$2-($K$2/_xlfn.STDEV.P('Raw Data'!C$2:'Raw Data'!C$352))*AVERAGE('Raw Data'!C$2:'Raw Data'!C$352))</f>
        <v>49.284913153184604</v>
      </c>
      <c r="D352" s="52">
        <f ca="1">'Raw Data'!D352*($K$2/_xlfn.STDEV.P('Raw Data'!D$2:'Raw Data'!D$352)) + ($J$2-($K$2/_xlfn.STDEV.P('Raw Data'!D$2:'Raw Data'!D$352))*AVERAGE('Raw Data'!D$2:'Raw Data'!D$352))</f>
        <v>52.56</v>
      </c>
      <c r="E352" s="52" t="str">
        <f ca="1">IFERROR($J$4+('Raw Data'!H352-MIN('Raw Data'!H$2:'Raw Data'!H$352))*($J$3-$J$4)/(MAX('Raw Data'!H$2:'Raw Data'!H$352)-MIN('Raw Data'!H$2:'Raw Data'!H$352)),"")</f>
        <v/>
      </c>
      <c r="F352" s="52" t="str">
        <f ca="1">IFERROR($J$4+('Raw Data'!I352-MIN('Raw Data'!I$2:'Raw Data'!I$352))*($J$3-$J$4)/(MAX('Raw Data'!I$2:'Raw Data'!I$352)-MIN('Raw Data'!I$2:'Raw Data'!I$352)),"")</f>
        <v/>
      </c>
      <c r="G352" s="52">
        <f ca="1">IF(Bracket!$I$1="Composite",AVERAGE(B352:F352),IF(Bracket!$I$1="Kenpom",B352,IF(Bracket!$I$1="PVA",C352,IF(Bracket!$I$1="Sagarin Predictor",D352,IF(Bracket!$I$1="No Preseason",AVERAGE(B352:D352),"")))))</f>
        <v>52.562605332213536</v>
      </c>
      <c r="H352" s="63">
        <f t="shared" ca="1" si="5"/>
        <v>351</v>
      </c>
      <c r="I352" s="52"/>
      <c r="J352" s="52"/>
      <c r="K352" s="52"/>
    </row>
  </sheetData>
  <dataValidations count="1">
    <dataValidation type="list" allowBlank="1" showInputMessage="1" showErrorMessage="1" sqref="J6">
      <formula1>$B$1:$D$1</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98"/>
  <sheetViews>
    <sheetView zoomScaleNormal="100" workbookViewId="0">
      <selection activeCell="G76" sqref="G76"/>
    </sheetView>
  </sheetViews>
  <sheetFormatPr defaultRowHeight="15.6" x14ac:dyDescent="0.3"/>
  <cols>
    <col min="1" max="1" width="6.58203125" style="55" bestFit="1" customWidth="1"/>
    <col min="2" max="2" width="4.08203125" style="55" bestFit="1" customWidth="1"/>
    <col min="3" max="3" width="14.1640625" style="55" bestFit="1" customWidth="1"/>
    <col min="4" max="4" width="7.75" style="60" bestFit="1" customWidth="1"/>
    <col min="5" max="5" width="6.58203125" style="55" bestFit="1" customWidth="1"/>
    <col min="6" max="6" width="4.08203125" style="55" bestFit="1" customWidth="1"/>
    <col min="7" max="7" width="12.4140625" style="55" bestFit="1" customWidth="1"/>
    <col min="8" max="8" width="6.75" style="57" bestFit="1" customWidth="1"/>
    <col min="9" max="9" width="6.58203125" style="55" bestFit="1" customWidth="1"/>
    <col min="10" max="10" width="5.75" style="55" bestFit="1" customWidth="1"/>
    <col min="11" max="11" width="12.4140625" style="55" bestFit="1" customWidth="1"/>
    <col min="12" max="12" width="6.75" style="57" bestFit="1" customWidth="1"/>
    <col min="13" max="13" width="6.58203125" style="55" bestFit="1" customWidth="1"/>
    <col min="14" max="14" width="4.08203125" style="55" bestFit="1" customWidth="1"/>
    <col min="15" max="15" width="11.58203125" style="55" bestFit="1" customWidth="1"/>
    <col min="16" max="16" width="6.75" style="57" bestFit="1" customWidth="1"/>
    <col min="17" max="17" width="6.58203125" style="55" bestFit="1" customWidth="1"/>
    <col min="18" max="18" width="4.08203125" style="55" bestFit="1" customWidth="1"/>
    <col min="19" max="19" width="11.58203125" style="55" bestFit="1" customWidth="1"/>
    <col min="20" max="20" width="6.75" style="57" bestFit="1" customWidth="1"/>
    <col min="21" max="21" width="6.58203125" style="55" bestFit="1" customWidth="1"/>
    <col min="22" max="22" width="4.08203125" style="55" bestFit="1" customWidth="1"/>
    <col min="23" max="23" width="7.4140625" style="55" bestFit="1" customWidth="1"/>
    <col min="24" max="24" width="6.75" style="57" bestFit="1" customWidth="1"/>
    <col min="25" max="16384" width="8.6640625" style="55"/>
  </cols>
  <sheetData>
    <row r="1" spans="1:24" ht="15.6" customHeight="1" x14ac:dyDescent="0.3">
      <c r="A1" s="90" t="s">
        <v>383</v>
      </c>
      <c r="B1" s="90"/>
      <c r="C1" s="90"/>
      <c r="D1" s="90"/>
      <c r="E1" s="90" t="s">
        <v>382</v>
      </c>
      <c r="F1" s="90"/>
      <c r="G1" s="90"/>
      <c r="H1" s="90"/>
      <c r="I1" s="90" t="s">
        <v>381</v>
      </c>
      <c r="J1" s="90"/>
      <c r="K1" s="90"/>
      <c r="L1" s="90"/>
      <c r="M1" s="90" t="s">
        <v>380</v>
      </c>
      <c r="N1" s="90"/>
      <c r="O1" s="90"/>
      <c r="P1" s="90"/>
      <c r="Q1" s="90" t="s">
        <v>379</v>
      </c>
      <c r="R1" s="90"/>
      <c r="S1" s="90"/>
      <c r="T1" s="90"/>
      <c r="U1" s="90" t="s">
        <v>378</v>
      </c>
      <c r="V1" s="90"/>
      <c r="W1" s="90"/>
      <c r="X1" s="90"/>
    </row>
    <row r="2" spans="1:24" ht="13.8" x14ac:dyDescent="0.3">
      <c r="A2" s="55" t="s">
        <v>377</v>
      </c>
      <c r="B2" s="55" t="s">
        <v>376</v>
      </c>
      <c r="C2" s="55" t="s">
        <v>375</v>
      </c>
      <c r="D2" s="57" t="s">
        <v>374</v>
      </c>
      <c r="E2" s="55" t="s">
        <v>377</v>
      </c>
      <c r="F2" s="55" t="s">
        <v>376</v>
      </c>
      <c r="G2" s="55" t="s">
        <v>375</v>
      </c>
      <c r="H2" s="57" t="s">
        <v>374</v>
      </c>
      <c r="I2" s="55" t="s">
        <v>377</v>
      </c>
      <c r="J2" s="55" t="s">
        <v>376</v>
      </c>
      <c r="K2" s="55" t="s">
        <v>375</v>
      </c>
      <c r="L2" s="57" t="s">
        <v>374</v>
      </c>
      <c r="M2" s="55" t="s">
        <v>377</v>
      </c>
      <c r="N2" s="55" t="s">
        <v>376</v>
      </c>
      <c r="O2" s="55" t="s">
        <v>375</v>
      </c>
      <c r="P2" s="57" t="s">
        <v>374</v>
      </c>
      <c r="Q2" s="55" t="s">
        <v>377</v>
      </c>
      <c r="R2" s="55" t="s">
        <v>376</v>
      </c>
      <c r="S2" s="55" t="s">
        <v>375</v>
      </c>
      <c r="T2" s="57" t="s">
        <v>374</v>
      </c>
      <c r="U2" s="55" t="s">
        <v>377</v>
      </c>
      <c r="V2" s="55" t="s">
        <v>376</v>
      </c>
      <c r="W2" s="55" t="s">
        <v>375</v>
      </c>
      <c r="X2" s="57" t="s">
        <v>374</v>
      </c>
    </row>
    <row r="3" spans="1:24" x14ac:dyDescent="0.3">
      <c r="A3" s="55" t="str">
        <f>Bracket!$C$30</f>
        <v>South</v>
      </c>
      <c r="B3" s="55">
        <v>1</v>
      </c>
      <c r="C3" s="55" t="str">
        <f ca="1">Bracket!A3</f>
        <v>Kansas</v>
      </c>
      <c r="D3" s="60">
        <f ca="1">IFERROR(IF((INDEX('Adj Data'!$G$2:$G$352,MATCH(C3,'Adj Data'!$A$2:$A$352,0))-INDEX('Adj Data'!$G$2:$G$352,MATCH(C4,'Adj Data'!$A$2:$A$352,0)))*'Adj Data'!$J$8 + 0.5 &lt; 1,(INDEX('Adj Data'!$G$2:$G$352,MATCH(C3,'Adj Data'!$A$2:$A$352,0))-INDEX('Adj Data'!$G$2:$G$352,MATCH(C4,'Adj Data'!$A$2:$A$352,0)))*'Adj Data'!$J$8 + 0.5,'Adj Data'!$J$9),"")</f>
        <v>0.99990000000000001</v>
      </c>
      <c r="E3" s="55" t="str">
        <f>Bracket!$C$30</f>
        <v>South</v>
      </c>
      <c r="F3" s="59">
        <f ca="1">Bracket!$B$6</f>
        <v>1</v>
      </c>
      <c r="G3" s="55" t="str">
        <f>IF(Bracket!$B$5&lt;&gt;"",Bracket!$B$5,"")</f>
        <v>Kansas</v>
      </c>
      <c r="H3" s="60">
        <f ca="1">IFERROR(IF((INDEX('Adj Data'!$G$2:$G$352,MATCH(G3,'Adj Data'!$A$2:$A$352,0))-INDEX('Adj Data'!$G$2:$G$352,MATCH(G4,'Adj Data'!$A$2:$A$352,0)))*'Adj Data'!$J$8 + 0.5 &lt; 1,(INDEX('Adj Data'!$G$2:$G$352,MATCH(G3,'Adj Data'!$A$2:$A$352,0))-INDEX('Adj Data'!$G$2:$G$352,MATCH(G4,'Adj Data'!$A$2:$A$352,0)))*'Adj Data'!$J$8 + 0.5,'Adj Data'!$J$9),"")</f>
        <v>0.68104863227395296</v>
      </c>
      <c r="I3" s="55" t="str">
        <f>Bracket!$C$30</f>
        <v>South</v>
      </c>
      <c r="J3" s="55" t="str">
        <f>Bracket!$C$9</f>
        <v/>
      </c>
      <c r="K3" s="59">
        <f>Bracket!$C$8</f>
        <v>0</v>
      </c>
      <c r="L3" s="60" t="str">
        <f>IFERROR(IF((INDEX('Adj Data'!$G$2:$G$352,MATCH(K3,'Adj Data'!$A$2:$A$352,0))-INDEX('Adj Data'!$G$2:$G$352,MATCH(K4,'Adj Data'!$A$2:$A$352,0)))*'Adj Data'!$J$8 + 0.5 &lt; 1,(INDEX('Adj Data'!$G$2:$G$352,MATCH(K3,'Adj Data'!$A$2:$A$352,0))-INDEX('Adj Data'!$G$2:$G$352,MATCH(K4,'Adj Data'!$A$2:$A$352,0)))*'Adj Data'!$J$8 + 0.5,'Adj Data'!$J$9),"")</f>
        <v/>
      </c>
      <c r="M3" s="55" t="str">
        <f>Bracket!$C$30</f>
        <v>South</v>
      </c>
      <c r="N3" s="55" t="str">
        <f>Bracket!$D$16</f>
        <v/>
      </c>
      <c r="O3" s="55">
        <f>Bracket!$D$15</f>
        <v>0</v>
      </c>
      <c r="P3" s="60" t="str">
        <f>IFERROR(IF((INDEX('Adj Data'!$G$2:$G$352,MATCH(O3,'Adj Data'!$A$2:$A$352,0))-INDEX('Adj Data'!$G$2:$G$352,MATCH(O4,'Adj Data'!$A$2:$A$352,0)))*'Adj Data'!$J$8 + 0.5 &lt; 1,(INDEX('Adj Data'!$G$2:$G$352,MATCH(O3,'Adj Data'!$A$2:$A$352,0))-INDEX('Adj Data'!$G$2:$G$352,MATCH(O4,'Adj Data'!$A$2:$A$352,0)))*'Adj Data'!$J$8 + 0.5,'Adj Data'!$J$9),"")</f>
        <v/>
      </c>
      <c r="Q3" s="55" t="str">
        <f>Bracket!$C$30</f>
        <v>South</v>
      </c>
      <c r="R3" s="55" t="str">
        <f>Bracket!$E$31</f>
        <v/>
      </c>
      <c r="S3" s="55">
        <f>Bracket!$E$30</f>
        <v>0</v>
      </c>
      <c r="T3" s="60" t="str">
        <f>IFERROR(IF((INDEX('Adj Data'!$G$2:$G$352,MATCH(S3,'Adj Data'!$A$2:$A$352,0))-INDEX('Adj Data'!$G$2:$G$352,MATCH(S4,'Adj Data'!$A$2:$A$352,0)))*'Adj Data'!$J$8 + 0.5 &lt; 1,(INDEX('Adj Data'!$G$2:$G$352,MATCH(S3,'Adj Data'!$A$2:$A$352,0))-INDEX('Adj Data'!$G$2:$G$352,MATCH(S4,'Adj Data'!$A$2:$A$352,0)))*'Adj Data'!$J$8 + 0.5,'Adj Data'!$J$9),"")</f>
        <v/>
      </c>
      <c r="U3" s="55" t="str">
        <f>Bracket!G59</f>
        <v/>
      </c>
      <c r="V3" s="55" t="str">
        <f>Bracket!H59</f>
        <v/>
      </c>
      <c r="W3" s="55">
        <f>Bracket!G58</f>
        <v>0</v>
      </c>
      <c r="X3" s="60" t="str">
        <f>IFERROR(IF((INDEX('Adj Data'!$G$2:$G$352,MATCH(W3,'Adj Data'!$A$2:$A$352,0))-INDEX('Adj Data'!$G$2:$G$352,MATCH(W4,'Adj Data'!$A$2:$A$352,0)))*'Adj Data'!$J$8 + 0.5 &lt; 1,(INDEX('Adj Data'!$G$2:$G$352,MATCH(W3,'Adj Data'!$A$2:$A$352,0))-INDEX('Adj Data'!$G$2:$G$352,MATCH(W4,'Adj Data'!$A$2:$A$352,0)))*'Adj Data'!$J$8 + 0.5,'Adj Data'!$J$9),"")</f>
        <v/>
      </c>
    </row>
    <row r="4" spans="1:24" x14ac:dyDescent="0.3">
      <c r="A4" s="55" t="str">
        <f>Bracket!$C$30</f>
        <v>South</v>
      </c>
      <c r="B4" s="55">
        <v>16</v>
      </c>
      <c r="C4" s="58" t="str">
        <f ca="1">Bracket!A7</f>
        <v>Austin Peay</v>
      </c>
      <c r="D4" s="60">
        <f ca="1">IFERROR(1-D3,"")</f>
        <v>9.9999999999988987E-5</v>
      </c>
      <c r="E4" s="55" t="str">
        <f>Bracket!$C$30</f>
        <v>South</v>
      </c>
      <c r="F4" s="55">
        <f ca="1">Bracket!$B$13</f>
        <v>9</v>
      </c>
      <c r="G4" s="55" t="str">
        <f>IF(Bracket!$B$12&lt;&gt;"",Bracket!$B$12,"")</f>
        <v>UConn</v>
      </c>
      <c r="H4" s="60">
        <f ca="1">IFERROR(1-H3,"")</f>
        <v>0.31895136772604704</v>
      </c>
      <c r="I4" s="55" t="str">
        <f>Bracket!$C$30</f>
        <v>South</v>
      </c>
      <c r="J4" s="55" t="str">
        <f>Bracket!$C$23</f>
        <v/>
      </c>
      <c r="K4" s="55">
        <f>Bracket!$C$22</f>
        <v>0</v>
      </c>
      <c r="L4" s="60" t="str">
        <f>IFERROR(1-L3,"")</f>
        <v/>
      </c>
      <c r="M4" s="55" t="str">
        <f>Bracket!$C$30</f>
        <v>South</v>
      </c>
      <c r="N4" s="55" t="str">
        <f>Bracket!$D$44</f>
        <v/>
      </c>
      <c r="O4" s="55">
        <f>Bracket!$D$43</f>
        <v>0</v>
      </c>
      <c r="P4" s="60" t="str">
        <f>IFERROR(1-P3,"")</f>
        <v/>
      </c>
      <c r="Q4" s="55" t="str">
        <f>Bracket!$C$86</f>
        <v>West</v>
      </c>
      <c r="R4" s="55" t="str">
        <f>Bracket!$E$87</f>
        <v/>
      </c>
      <c r="S4" s="55">
        <f>Bracket!$E$86</f>
        <v>0</v>
      </c>
      <c r="T4" s="60" t="str">
        <f>IFERROR(1-T3,"")</f>
        <v/>
      </c>
      <c r="U4" s="55" t="str">
        <f>Bracket!L59</f>
        <v/>
      </c>
      <c r="V4" s="55" t="str">
        <f>Bracket!M59</f>
        <v/>
      </c>
      <c r="W4" s="55">
        <f>Bracket!L58</f>
        <v>0</v>
      </c>
      <c r="X4" s="60" t="str">
        <f>IFERROR(1-X3,"")</f>
        <v/>
      </c>
    </row>
    <row r="5" spans="1:24" x14ac:dyDescent="0.3">
      <c r="A5" s="55" t="str">
        <f>Bracket!$C$30</f>
        <v>South</v>
      </c>
      <c r="B5" s="55">
        <v>8</v>
      </c>
      <c r="C5" s="55" t="str">
        <f ca="1">Bracket!A10</f>
        <v>Colorado</v>
      </c>
      <c r="D5" s="60">
        <f ca="1">IFERROR(IF((INDEX('Adj Data'!$G$2:$G$352,MATCH(C5,'Adj Data'!$A$2:$A$352,0))-INDEX('Adj Data'!$G$2:$G$352,MATCH(C6,'Adj Data'!$A$2:$A$352,0)))*'Adj Data'!$J$8 + 0.5 &lt; 1,(INDEX('Adj Data'!$G$2:$G$352,MATCH(C5,'Adj Data'!$A$2:$A$352,0))-INDEX('Adj Data'!$G$2:$G$352,MATCH(C6,'Adj Data'!$A$2:$A$352,0)))*'Adj Data'!$J$8 + 0.5,'Adj Data'!$J$9),"")</f>
        <v>0.42007562632518802</v>
      </c>
      <c r="E5" s="55" t="str">
        <f>Bracket!$C$30</f>
        <v>South</v>
      </c>
      <c r="F5" s="55">
        <f ca="1">Bracket!$B$20</f>
        <v>5</v>
      </c>
      <c r="G5" s="55" t="str">
        <f>IF(Bracket!$B$19&lt;&gt;"",Bracket!$B$19,"")</f>
        <v>Maryland</v>
      </c>
      <c r="H5" s="60">
        <f ca="1">IFERROR(IF((INDEX('Adj Data'!$G$2:$G$352,MATCH(G5,'Adj Data'!$A$2:$A$352,0))-INDEX('Adj Data'!$G$2:$G$352,MATCH(G6,'Adj Data'!$A$2:$A$352,0)))*'Adj Data'!$J$8 + 0.5 &lt; 1,(INDEX('Adj Data'!$G$2:$G$352,MATCH(G5,'Adj Data'!$A$2:$A$352,0))-INDEX('Adj Data'!$G$2:$G$352,MATCH(G6,'Adj Data'!$A$2:$A$352,0)))*'Adj Data'!$J$8 + 0.5,'Adj Data'!$J$9),"")</f>
        <v>0.72253117122044819</v>
      </c>
      <c r="I5" s="55" t="str">
        <f>Bracket!$C$30</f>
        <v>South</v>
      </c>
      <c r="J5" s="55" t="str">
        <f>Bracket!$C$37</f>
        <v/>
      </c>
      <c r="K5" s="55">
        <f>Bracket!$C$36</f>
        <v>0</v>
      </c>
      <c r="L5" s="60" t="str">
        <f>IFERROR(IF((INDEX('Adj Data'!$G$2:$G$352,MATCH(K5,'Adj Data'!$A$2:$A$352,0))-INDEX('Adj Data'!$G$2:$G$352,MATCH(K6,'Adj Data'!$A$2:$A$352,0)))*'Adj Data'!$J$8 + 0.5 &lt; 1,(INDEX('Adj Data'!$G$2:$G$352,MATCH(K5,'Adj Data'!$A$2:$A$352,0))-INDEX('Adj Data'!$G$2:$G$352,MATCH(K6,'Adj Data'!$A$2:$A$352,0)))*'Adj Data'!$J$8 + 0.5,'Adj Data'!$J$9),"")</f>
        <v/>
      </c>
      <c r="M5" s="55" t="str">
        <f>Bracket!$C$86</f>
        <v>West</v>
      </c>
      <c r="N5" s="55" t="str">
        <f>Bracket!$D$72</f>
        <v/>
      </c>
      <c r="O5" s="55">
        <f>Bracket!$D$71</f>
        <v>0</v>
      </c>
      <c r="P5" s="60" t="str">
        <f>IFERROR(IF((INDEX('Adj Data'!$G$2:$G$352,MATCH(O5,'Adj Data'!$A$2:$A$352,0))-INDEX('Adj Data'!$G$2:$G$352,MATCH(O6,'Adj Data'!$A$2:$A$352,0)))*'Adj Data'!$J$8 + 0.5 &lt; 1,(INDEX('Adj Data'!$G$2:$G$352,MATCH(O5,'Adj Data'!$A$2:$A$352,0))-INDEX('Adj Data'!$G$2:$G$352,MATCH(O6,'Adj Data'!$A$2:$A$352,0)))*'Adj Data'!$J$8 + 0.5,'Adj Data'!$J$9),"")</f>
        <v/>
      </c>
      <c r="Q5" s="55" t="str">
        <f>Bracket!$Q$30</f>
        <v>East</v>
      </c>
      <c r="R5" s="55" t="str">
        <f>Bracket!$N$31</f>
        <v/>
      </c>
      <c r="S5" s="55">
        <f>Bracket!$N$30</f>
        <v>0</v>
      </c>
      <c r="T5" s="60" t="str">
        <f>IFERROR(IF((INDEX('Adj Data'!$G$2:$G$352,MATCH(S5,'Adj Data'!$A$2:$A$352,0))-INDEX('Adj Data'!$G$2:$G$352,MATCH(S6,'Adj Data'!$A$2:$A$352,0)))*'Adj Data'!$J$8 + 0.5 &lt; 1,(INDEX('Adj Data'!$G$2:$G$352,MATCH(S5,'Adj Data'!$A$2:$A$352,0))-INDEX('Adj Data'!$G$2:$G$352,MATCH(S6,'Adj Data'!$A$2:$A$352,0)))*'Adj Data'!$J$8 + 0.5,'Adj Data'!$J$9),"")</f>
        <v/>
      </c>
    </row>
    <row r="6" spans="1:24" x14ac:dyDescent="0.3">
      <c r="A6" s="55" t="str">
        <f>Bracket!$C$30</f>
        <v>South</v>
      </c>
      <c r="B6" s="55">
        <v>9</v>
      </c>
      <c r="C6" s="55" t="str">
        <f ca="1">Bracket!A14</f>
        <v>UConn</v>
      </c>
      <c r="D6" s="60">
        <f ca="1">IFERROR(1-D5,"")</f>
        <v>0.57992437367481198</v>
      </c>
      <c r="E6" s="55" t="str">
        <f>Bracket!$C$30</f>
        <v>South</v>
      </c>
      <c r="F6" s="55">
        <f ca="1">Bracket!$B$27</f>
        <v>13</v>
      </c>
      <c r="G6" s="55" t="str">
        <f>IF(Bracket!$B$26&lt;&gt;"",Bracket!$B$26,"")</f>
        <v>Hawaii</v>
      </c>
      <c r="H6" s="60">
        <f ca="1">IFERROR(1-H5,"")</f>
        <v>0.27746882877955181</v>
      </c>
      <c r="I6" s="55" t="str">
        <f>Bracket!$C$30</f>
        <v>South</v>
      </c>
      <c r="J6" s="55" t="str">
        <f>Bracket!$C$51</f>
        <v/>
      </c>
      <c r="K6" s="55">
        <f>Bracket!$C$50</f>
        <v>0</v>
      </c>
      <c r="L6" s="60" t="str">
        <f>IFERROR(1-L5,"")</f>
        <v/>
      </c>
      <c r="M6" s="55" t="str">
        <f>Bracket!$C$86</f>
        <v>West</v>
      </c>
      <c r="N6" s="55" t="str">
        <f>Bracket!$D$100</f>
        <v/>
      </c>
      <c r="O6" s="55">
        <f>Bracket!$D$99</f>
        <v>0</v>
      </c>
      <c r="P6" s="60" t="str">
        <f>IFERROR(1-P5,"")</f>
        <v/>
      </c>
      <c r="Q6" s="55" t="str">
        <f>Bracket!$Q$86</f>
        <v>Midwest</v>
      </c>
      <c r="R6" s="55" t="str">
        <f>Bracket!$N$87</f>
        <v/>
      </c>
      <c r="S6" s="55">
        <f>Bracket!$N$86</f>
        <v>0</v>
      </c>
      <c r="T6" s="60" t="str">
        <f>IFERROR(1-T5,"")</f>
        <v/>
      </c>
    </row>
    <row r="7" spans="1:24" x14ac:dyDescent="0.3">
      <c r="A7" s="55" t="str">
        <f>Bracket!$C$30</f>
        <v>South</v>
      </c>
      <c r="B7" s="55">
        <v>5</v>
      </c>
      <c r="C7" s="55" t="str">
        <f ca="1">Bracket!A17</f>
        <v>Maryland</v>
      </c>
      <c r="D7" s="60">
        <f ca="1">IFERROR(IF((INDEX('Adj Data'!$G$2:$G$352,MATCH(C7,'Adj Data'!$A$2:$A$352,0))-INDEX('Adj Data'!$G$2:$G$352,MATCH(C8,'Adj Data'!$A$2:$A$352,0)))*'Adj Data'!$J$8 + 0.5 &lt; 1,(INDEX('Adj Data'!$G$2:$G$352,MATCH(C7,'Adj Data'!$A$2:$A$352,0))-INDEX('Adj Data'!$G$2:$G$352,MATCH(C8,'Adj Data'!$A$2:$A$352,0)))*'Adj Data'!$J$8 + 0.5,'Adj Data'!$J$9),"")</f>
        <v>0.77586669095548011</v>
      </c>
      <c r="E7" s="55" t="str">
        <f>Bracket!$C$30</f>
        <v>South</v>
      </c>
      <c r="F7" s="55">
        <f ca="1">Bracket!$B$34</f>
        <v>11</v>
      </c>
      <c r="G7" s="55" t="str">
        <f>IF(Bracket!$B$33&lt;&gt;"",Bracket!$B$33,"")</f>
        <v>Wichita St</v>
      </c>
      <c r="H7" s="60">
        <f ca="1">IFERROR(IF((INDEX('Adj Data'!$G$2:$G$352,MATCH(G7,'Adj Data'!$A$2:$A$352,0))-INDEX('Adj Data'!$G$2:$G$352,MATCH(G8,'Adj Data'!$A$2:$A$352,0)))*'Adj Data'!$J$8 + 0.5 &lt; 1,(INDEX('Adj Data'!$G$2:$G$352,MATCH(G7,'Adj Data'!$A$2:$A$352,0))-INDEX('Adj Data'!$G$2:$G$352,MATCH(G8,'Adj Data'!$A$2:$A$352,0)))*'Adj Data'!$J$8 + 0.5,'Adj Data'!$J$9),"")</f>
        <v>0.49931330493575726</v>
      </c>
      <c r="I7" s="55" t="str">
        <f>Bracket!$C$86</f>
        <v>West</v>
      </c>
      <c r="J7" s="55" t="str">
        <f>Bracket!$C$65</f>
        <v/>
      </c>
      <c r="K7" s="55">
        <f>Bracket!$C$64</f>
        <v>0</v>
      </c>
      <c r="L7" s="60" t="str">
        <f>IFERROR(IF((INDEX('Adj Data'!$G$2:$G$352,MATCH(K7,'Adj Data'!$A$2:$A$352,0))-INDEX('Adj Data'!$G$2:$G$352,MATCH(K8,'Adj Data'!$A$2:$A$352,0)))*'Adj Data'!$J$8 + 0.5 &lt; 1,(INDEX('Adj Data'!$G$2:$G$352,MATCH(K7,'Adj Data'!$A$2:$A$352,0))-INDEX('Adj Data'!$G$2:$G$352,MATCH(K8,'Adj Data'!$A$2:$A$352,0)))*'Adj Data'!$J$8 + 0.5,'Adj Data'!$J$9),"")</f>
        <v/>
      </c>
      <c r="M7" s="55" t="str">
        <f>Bracket!$Q$30</f>
        <v>East</v>
      </c>
      <c r="N7" s="55" t="str">
        <f>Bracket!$P$16</f>
        <v/>
      </c>
      <c r="O7" s="55">
        <f>Bracket!$P$15</f>
        <v>0</v>
      </c>
      <c r="P7" s="60" t="str">
        <f>IFERROR(IF((INDEX('Adj Data'!$G$2:$G$352,MATCH(O7,'Adj Data'!$A$2:$A$352,0))-INDEX('Adj Data'!$G$2:$G$352,MATCH(O8,'Adj Data'!$A$2:$A$352,0)))*'Adj Data'!$J$8 + 0.5 &lt; 1,(INDEX('Adj Data'!$G$2:$G$352,MATCH(O7,'Adj Data'!$A$2:$A$352,0))-INDEX('Adj Data'!$G$2:$G$352,MATCH(O8,'Adj Data'!$A$2:$A$352,0)))*'Adj Data'!$J$8 + 0.5,'Adj Data'!$J$9),"")</f>
        <v/>
      </c>
      <c r="T7" s="60"/>
    </row>
    <row r="8" spans="1:24" x14ac:dyDescent="0.3">
      <c r="A8" s="55" t="str">
        <f>Bracket!$C$30</f>
        <v>South</v>
      </c>
      <c r="B8" s="55">
        <v>12</v>
      </c>
      <c r="C8" s="55" t="str">
        <f ca="1">Bracket!A21</f>
        <v>South Dakota St</v>
      </c>
      <c r="D8" s="60">
        <f ca="1">IFERROR(1-D7,"")</f>
        <v>0.22413330904451989</v>
      </c>
      <c r="E8" s="55" t="str">
        <f>Bracket!$C$30</f>
        <v>South</v>
      </c>
      <c r="F8" s="55">
        <f ca="1">Bracket!$B$41</f>
        <v>3</v>
      </c>
      <c r="G8" s="55" t="str">
        <f>IF(Bracket!$B$40&lt;&gt;"",Bracket!$B$40,"")</f>
        <v>Miami</v>
      </c>
      <c r="H8" s="60">
        <f ca="1">IFERROR(1-H7,"")</f>
        <v>0.50068669506424279</v>
      </c>
      <c r="I8" s="55" t="str">
        <f>Bracket!$C$86</f>
        <v>West</v>
      </c>
      <c r="J8" s="55" t="str">
        <f>Bracket!$C$79</f>
        <v/>
      </c>
      <c r="K8" s="55">
        <f>Bracket!$C$78</f>
        <v>0</v>
      </c>
      <c r="L8" s="60" t="str">
        <f>IFERROR(1-L7,"")</f>
        <v/>
      </c>
      <c r="M8" s="55" t="str">
        <f>Bracket!$Q$30</f>
        <v>East</v>
      </c>
      <c r="N8" s="55" t="str">
        <f>Bracket!$P$44</f>
        <v/>
      </c>
      <c r="O8" s="55">
        <f>Bracket!$P$43</f>
        <v>0</v>
      </c>
      <c r="P8" s="60" t="str">
        <f>IFERROR(1-P7,"")</f>
        <v/>
      </c>
      <c r="T8" s="60"/>
    </row>
    <row r="9" spans="1:24" x14ac:dyDescent="0.3">
      <c r="A9" s="55" t="str">
        <f>Bracket!$C$30</f>
        <v>South</v>
      </c>
      <c r="B9" s="55">
        <v>4</v>
      </c>
      <c r="C9" s="55" t="str">
        <f ca="1">Bracket!A24</f>
        <v>Cal</v>
      </c>
      <c r="D9" s="60">
        <f ca="1">IFERROR(IF((INDEX('Adj Data'!$G$2:$G$352,MATCH(C9,'Adj Data'!$A$2:$A$352,0))-INDEX('Adj Data'!$G$2:$G$352,MATCH(C10,'Adj Data'!$A$2:$A$352,0)))*'Adj Data'!$J$8 + 0.5 &lt; 1,(INDEX('Adj Data'!$G$2:$G$352,MATCH(C9,'Adj Data'!$A$2:$A$352,0))-INDEX('Adj Data'!$G$2:$G$352,MATCH(C10,'Adj Data'!$A$2:$A$352,0)))*'Adj Data'!$J$8 + 0.5,'Adj Data'!$J$9),"")</f>
        <v>0.65062844267633291</v>
      </c>
      <c r="E9" s="55" t="str">
        <f>Bracket!$C$30</f>
        <v>South</v>
      </c>
      <c r="F9" s="55">
        <f ca="1">Bracket!$B$48</f>
        <v>7</v>
      </c>
      <c r="G9" s="55" t="str">
        <f>IF(Bracket!$B$47&lt;&gt;"",Bracket!$B$47,"")</f>
        <v>Iowa</v>
      </c>
      <c r="H9" s="60">
        <f ca="1">IFERROR(IF((INDEX('Adj Data'!$G$2:$G$352,MATCH(G9,'Adj Data'!$A$2:$A$352,0))-INDEX('Adj Data'!$G$2:$G$352,MATCH(G10,'Adj Data'!$A$2:$A$352,0)))*'Adj Data'!$J$8 + 0.5 &lt; 1,(INDEX('Adj Data'!$G$2:$G$352,MATCH(G9,'Adj Data'!$A$2:$A$352,0))-INDEX('Adj Data'!$G$2:$G$352,MATCH(G10,'Adj Data'!$A$2:$A$352,0)))*'Adj Data'!$J$8 + 0.5,'Adj Data'!$J$9),"")</f>
        <v>0.34884295925439002</v>
      </c>
      <c r="I9" s="55" t="str">
        <f>Bracket!$C$86</f>
        <v>West</v>
      </c>
      <c r="J9" s="55" t="str">
        <f>Bracket!$C$93</f>
        <v/>
      </c>
      <c r="K9" s="55">
        <f>Bracket!$C$92</f>
        <v>0</v>
      </c>
      <c r="L9" s="60" t="str">
        <f>IFERROR(IF((INDEX('Adj Data'!$G$2:$G$352,MATCH(K9,'Adj Data'!$A$2:$A$352,0))-INDEX('Adj Data'!$G$2:$G$352,MATCH(K10,'Adj Data'!$A$2:$A$352,0)))*'Adj Data'!$J$8 + 0.5 &lt; 1,(INDEX('Adj Data'!$G$2:$G$352,MATCH(K9,'Adj Data'!$A$2:$A$352,0))-INDEX('Adj Data'!$G$2:$G$352,MATCH(K10,'Adj Data'!$A$2:$A$352,0)))*'Adj Data'!$J$8 + 0.5,'Adj Data'!$J$9),"")</f>
        <v/>
      </c>
      <c r="M9" s="55" t="str">
        <f>Bracket!$Q$86</f>
        <v>Midwest</v>
      </c>
      <c r="N9" s="55" t="str">
        <f>Bracket!$P$72</f>
        <v/>
      </c>
      <c r="O9" s="55">
        <f>Bracket!$P$71</f>
        <v>0</v>
      </c>
      <c r="P9" s="60" t="str">
        <f>IFERROR(IF((INDEX('Adj Data'!$G$2:$G$352,MATCH(O9,'Adj Data'!$A$2:$A$352,0))-INDEX('Adj Data'!$G$2:$G$352,MATCH(O10,'Adj Data'!$A$2:$A$352,0)))*'Adj Data'!$J$8 + 0.5 &lt; 1,(INDEX('Adj Data'!$G$2:$G$352,MATCH(O9,'Adj Data'!$A$2:$A$352,0))-INDEX('Adj Data'!$G$2:$G$352,MATCH(O10,'Adj Data'!$A$2:$A$352,0)))*'Adj Data'!$J$8 + 0.5,'Adj Data'!$J$9),"")</f>
        <v/>
      </c>
      <c r="T9" s="60"/>
    </row>
    <row r="10" spans="1:24" x14ac:dyDescent="0.3">
      <c r="A10" s="55" t="str">
        <f>Bracket!$C$30</f>
        <v>South</v>
      </c>
      <c r="B10" s="55">
        <v>13</v>
      </c>
      <c r="C10" s="55" t="str">
        <f ca="1">Bracket!A28</f>
        <v>Hawaii</v>
      </c>
      <c r="D10" s="60">
        <f ca="1">IFERROR(1-D9,"")</f>
        <v>0.34937155732366709</v>
      </c>
      <c r="E10" s="55" t="str">
        <f>Bracket!$C$30</f>
        <v>South</v>
      </c>
      <c r="F10" s="55">
        <f ca="1">Bracket!$B$55</f>
        <v>2</v>
      </c>
      <c r="G10" s="55" t="str">
        <f>IF(Bracket!$B$54&lt;&gt;"",Bracket!$B$54,"")</f>
        <v>Villanova</v>
      </c>
      <c r="H10" s="60">
        <f ca="1">IFERROR(1-H9,"")</f>
        <v>0.65115704074560998</v>
      </c>
      <c r="I10" s="55" t="str">
        <f>Bracket!$C$86</f>
        <v>West</v>
      </c>
      <c r="J10" s="55" t="str">
        <f>Bracket!$C$107</f>
        <v/>
      </c>
      <c r="K10" s="55">
        <f>Bracket!$C$106</f>
        <v>0</v>
      </c>
      <c r="L10" s="60" t="str">
        <f>IFERROR(1-L9,"")</f>
        <v/>
      </c>
      <c r="M10" s="55" t="str">
        <f>Bracket!$Q$86</f>
        <v>Midwest</v>
      </c>
      <c r="N10" s="55" t="str">
        <f>Bracket!$P$100</f>
        <v/>
      </c>
      <c r="O10" s="55">
        <f>Bracket!$P$99</f>
        <v>0</v>
      </c>
      <c r="P10" s="60" t="str">
        <f>IFERROR(1-P9,"")</f>
        <v/>
      </c>
      <c r="T10" s="60"/>
    </row>
    <row r="11" spans="1:24" x14ac:dyDescent="0.3">
      <c r="A11" s="55" t="str">
        <f>Bracket!$C$30</f>
        <v>South</v>
      </c>
      <c r="B11" s="55">
        <v>6</v>
      </c>
      <c r="C11" s="55" t="str">
        <f ca="1">Bracket!A31</f>
        <v>Arizona</v>
      </c>
      <c r="D11" s="60">
        <f ca="1">IFERROR(IF((INDEX('Adj Data'!$G$2:$G$352,MATCH(C11,'Adj Data'!$A$2:$A$352,0))-INDEX('Adj Data'!$G$2:$G$352,MATCH(C12,'Adj Data'!$A$2:$A$352,0)))*'Adj Data'!$J$8 + 0.5 &lt; 1,(INDEX('Adj Data'!$G$2:$G$352,MATCH(C11,'Adj Data'!$A$2:$A$352,0))-INDEX('Adj Data'!$G$2:$G$352,MATCH(C12,'Adj Data'!$A$2:$A$352,0)))*'Adj Data'!$J$8 + 0.5,'Adj Data'!$J$9),"")</f>
        <v>0.50832009018163249</v>
      </c>
      <c r="E11" s="55" t="str">
        <f>Bracket!$C$86</f>
        <v>West</v>
      </c>
      <c r="F11" s="55">
        <f ca="1">Bracket!$B$62</f>
        <v>1</v>
      </c>
      <c r="G11" s="55" t="str">
        <f>IF(Bracket!$B$61&lt;&gt;"",Bracket!$B$61,"")</f>
        <v>Oregon</v>
      </c>
      <c r="H11" s="60">
        <f ca="1">IFERROR(IF((INDEX('Adj Data'!$G$2:$G$352,MATCH(G11,'Adj Data'!$A$2:$A$352,0))-INDEX('Adj Data'!$G$2:$G$352,MATCH(G12,'Adj Data'!$A$2:$A$352,0)))*'Adj Data'!$J$8 + 0.5 &lt; 1,(INDEX('Adj Data'!$G$2:$G$352,MATCH(G11,'Adj Data'!$A$2:$A$352,0))-INDEX('Adj Data'!$G$2:$G$352,MATCH(G12,'Adj Data'!$A$2:$A$352,0)))*'Adj Data'!$J$8 + 0.5,'Adj Data'!$J$9),"")</f>
        <v>0.57783985492193979</v>
      </c>
      <c r="I11" s="55" t="str">
        <f>Bracket!$Q$30</f>
        <v>East</v>
      </c>
      <c r="J11" s="55" t="str">
        <f>Bracket!$Q$9</f>
        <v/>
      </c>
      <c r="K11" s="55">
        <f>Bracket!$Q$8</f>
        <v>0</v>
      </c>
      <c r="L11" s="60" t="str">
        <f>IFERROR(IF((INDEX('Adj Data'!$G$2:$G$352,MATCH(K11,'Adj Data'!$A$2:$A$352,0))-INDEX('Adj Data'!$G$2:$G$352,MATCH(K12,'Adj Data'!$A$2:$A$352,0)))*'Adj Data'!$J$8 + 0.5 &lt; 1,(INDEX('Adj Data'!$G$2:$G$352,MATCH(K11,'Adj Data'!$A$2:$A$352,0))-INDEX('Adj Data'!$G$2:$G$352,MATCH(K12,'Adj Data'!$A$2:$A$352,0)))*'Adj Data'!$J$8 + 0.5,'Adj Data'!$J$9),"")</f>
        <v/>
      </c>
    </row>
    <row r="12" spans="1:24" x14ac:dyDescent="0.3">
      <c r="A12" s="55" t="str">
        <f>Bracket!$C$30</f>
        <v>South</v>
      </c>
      <c r="B12" s="55">
        <v>11</v>
      </c>
      <c r="C12" s="55" t="str">
        <f>Bracket!A35</f>
        <v>Wichita St</v>
      </c>
      <c r="D12" s="60">
        <f ca="1">IFERROR(1-D11,"")</f>
        <v>0.49167990981836751</v>
      </c>
      <c r="E12" s="55" t="str">
        <f>Bracket!$C$86</f>
        <v>West</v>
      </c>
      <c r="F12" s="55">
        <f ca="1">Bracket!$B$69</f>
        <v>8</v>
      </c>
      <c r="G12" s="55" t="str">
        <f>IF(Bracket!$B$68&lt;&gt;"",Bracket!$B$68,"")</f>
        <v>Saint Joseph's</v>
      </c>
      <c r="H12" s="60">
        <f ca="1">IFERROR(1-H11,"")</f>
        <v>0.42216014507806021</v>
      </c>
      <c r="I12" s="55" t="str">
        <f>Bracket!$Q$30</f>
        <v>East</v>
      </c>
      <c r="J12" s="55" t="str">
        <f>Bracket!$Q$23</f>
        <v/>
      </c>
      <c r="K12" s="55">
        <f>Bracket!$Q$22</f>
        <v>0</v>
      </c>
      <c r="L12" s="60" t="str">
        <f>IFERROR(1-L11,"")</f>
        <v/>
      </c>
    </row>
    <row r="13" spans="1:24" x14ac:dyDescent="0.3">
      <c r="A13" s="55" t="str">
        <f>Bracket!$C$30</f>
        <v>South</v>
      </c>
      <c r="B13" s="55">
        <v>3</v>
      </c>
      <c r="C13" s="55" t="str">
        <f ca="1">Bracket!A38</f>
        <v>Miami</v>
      </c>
      <c r="D13" s="60">
        <f ca="1">IFERROR(IF((INDEX('Adj Data'!$G$2:$G$352,MATCH(C13,'Adj Data'!$A$2:$A$352,0))-INDEX('Adj Data'!$G$2:$G$352,MATCH(C14,'Adj Data'!$A$2:$A$352,0)))*'Adj Data'!$J$8 + 0.5 &lt; 1,(INDEX('Adj Data'!$G$2:$G$352,MATCH(C13,'Adj Data'!$A$2:$A$352,0))-INDEX('Adj Data'!$G$2:$G$352,MATCH(C14,'Adj Data'!$A$2:$A$352,0)))*'Adj Data'!$J$8 + 0.5,'Adj Data'!$J$9),"")</f>
        <v>0.88480288203369217</v>
      </c>
      <c r="E13" s="55" t="str">
        <f>Bracket!$C$86</f>
        <v>West</v>
      </c>
      <c r="F13" s="55">
        <f ca="1">Bracket!$B$76</f>
        <v>12</v>
      </c>
      <c r="G13" s="55" t="str">
        <f>IF(Bracket!$B$75&lt;&gt;"",Bracket!$B$75,"")</f>
        <v>Yale</v>
      </c>
      <c r="H13" s="60">
        <f ca="1">IFERROR(IF((INDEX('Adj Data'!$G$2:$G$352,MATCH(G13,'Adj Data'!$A$2:$A$352,0))-INDEX('Adj Data'!$G$2:$G$352,MATCH(G14,'Adj Data'!$A$2:$A$352,0)))*'Adj Data'!$J$8 + 0.5 &lt; 1,(INDEX('Adj Data'!$G$2:$G$352,MATCH(G13,'Adj Data'!$A$2:$A$352,0))-INDEX('Adj Data'!$G$2:$G$352,MATCH(G14,'Adj Data'!$A$2:$A$352,0)))*'Adj Data'!$J$8 + 0.5,'Adj Data'!$J$9),"")</f>
        <v>0.29924207032515093</v>
      </c>
      <c r="I13" s="55" t="str">
        <f>Bracket!$Q$30</f>
        <v>East</v>
      </c>
      <c r="J13" s="55" t="str">
        <f>Bracket!$Q$37</f>
        <v/>
      </c>
      <c r="K13" s="55">
        <f>Bracket!$Q$36</f>
        <v>0</v>
      </c>
      <c r="L13" s="60" t="str">
        <f>IFERROR(IF((INDEX('Adj Data'!$G$2:$G$352,MATCH(K13,'Adj Data'!$A$2:$A$352,0))-INDEX('Adj Data'!$G$2:$G$352,MATCH(K14,'Adj Data'!$A$2:$A$352,0)))*'Adj Data'!$J$8 + 0.5 &lt; 1,(INDEX('Adj Data'!$G$2:$G$352,MATCH(K13,'Adj Data'!$A$2:$A$352,0))-INDEX('Adj Data'!$G$2:$G$352,MATCH(K14,'Adj Data'!$A$2:$A$352,0)))*'Adj Data'!$J$8 + 0.5,'Adj Data'!$J$9),"")</f>
        <v/>
      </c>
    </row>
    <row r="14" spans="1:24" x14ac:dyDescent="0.3">
      <c r="A14" s="55" t="str">
        <f>Bracket!$C$30</f>
        <v>South</v>
      </c>
      <c r="B14" s="55">
        <v>14</v>
      </c>
      <c r="C14" s="55" t="str">
        <f ca="1">Bracket!A42</f>
        <v>Buffalo</v>
      </c>
      <c r="D14" s="60">
        <f ca="1">IFERROR(1-D13,"")</f>
        <v>0.11519711796630783</v>
      </c>
      <c r="E14" s="55" t="str">
        <f>Bracket!$C$86</f>
        <v>West</v>
      </c>
      <c r="F14" s="55">
        <f ca="1">Bracket!$B$83</f>
        <v>4</v>
      </c>
      <c r="G14" s="55" t="str">
        <f>IF(Bracket!$B$82&lt;&gt;"",Bracket!$B$82,"")</f>
        <v>Duke</v>
      </c>
      <c r="H14" s="60">
        <f ca="1">IFERROR(1-H13,"")</f>
        <v>0.70075792967484907</v>
      </c>
      <c r="I14" s="55" t="str">
        <f>Bracket!$Q$30</f>
        <v>East</v>
      </c>
      <c r="J14" s="55" t="str">
        <f>Bracket!$Q$51</f>
        <v/>
      </c>
      <c r="K14" s="55">
        <f>Bracket!$Q$50</f>
        <v>0</v>
      </c>
      <c r="L14" s="60" t="str">
        <f>IFERROR(1-L13,"")</f>
        <v/>
      </c>
    </row>
    <row r="15" spans="1:24" x14ac:dyDescent="0.3">
      <c r="A15" s="55" t="str">
        <f>Bracket!$C$30</f>
        <v>South</v>
      </c>
      <c r="B15" s="55">
        <v>7</v>
      </c>
      <c r="C15" s="55" t="str">
        <f ca="1">Bracket!A45</f>
        <v>Iowa</v>
      </c>
      <c r="D15" s="60">
        <f ca="1">IFERROR(IF((INDEX('Adj Data'!$G$2:$G$352,MATCH(C15,'Adj Data'!$A$2:$A$352,0))-INDEX('Adj Data'!$G$2:$G$352,MATCH(C16,'Adj Data'!$A$2:$A$352,0)))*'Adj Data'!$J$8 + 0.5 &lt; 1,(INDEX('Adj Data'!$G$2:$G$352,MATCH(C15,'Adj Data'!$A$2:$A$352,0))-INDEX('Adj Data'!$G$2:$G$352,MATCH(C16,'Adj Data'!$A$2:$A$352,0)))*'Adj Data'!$J$8 + 0.5,'Adj Data'!$J$9),"")</f>
        <v>0.6718096362581828</v>
      </c>
      <c r="E15" s="55" t="str">
        <f>Bracket!$C$86</f>
        <v>West</v>
      </c>
      <c r="F15" s="55">
        <f ca="1">Bracket!$B$90</f>
        <v>11</v>
      </c>
      <c r="G15" s="55" t="str">
        <f>IF(Bracket!$B$89&lt;&gt;"",Bracket!$B$89,"")</f>
        <v>Northern Iowa</v>
      </c>
      <c r="H15" s="60">
        <f ca="1">IFERROR(IF((INDEX('Adj Data'!$G$2:$G$352,MATCH(G15,'Adj Data'!$A$2:$A$352,0))-INDEX('Adj Data'!$G$2:$G$352,MATCH(G16,'Adj Data'!$A$2:$A$352,0)))*'Adj Data'!$J$8 + 0.5 &lt; 1,(INDEX('Adj Data'!$G$2:$G$352,MATCH(G15,'Adj Data'!$A$2:$A$352,0))-INDEX('Adj Data'!$G$2:$G$352,MATCH(G16,'Adj Data'!$A$2:$A$352,0)))*'Adj Data'!$J$8 + 0.5,'Adj Data'!$J$9),"")</f>
        <v>0.32037025337806768</v>
      </c>
      <c r="I15" s="55" t="str">
        <f>Bracket!$Q$86</f>
        <v>Midwest</v>
      </c>
      <c r="J15" s="55" t="str">
        <f>Bracket!$Q$65</f>
        <v/>
      </c>
      <c r="K15" s="55">
        <f>Bracket!$Q$64</f>
        <v>0</v>
      </c>
      <c r="L15" s="60" t="str">
        <f>IFERROR(IF((INDEX('Adj Data'!$G$2:$G$352,MATCH(K15,'Adj Data'!$A$2:$A$352,0))-INDEX('Adj Data'!$G$2:$G$352,MATCH(K16,'Adj Data'!$A$2:$A$352,0)))*'Adj Data'!$J$8 + 0.5 &lt; 1,(INDEX('Adj Data'!$G$2:$G$352,MATCH(K15,'Adj Data'!$A$2:$A$352,0))-INDEX('Adj Data'!$G$2:$G$352,MATCH(K16,'Adj Data'!$A$2:$A$352,0)))*'Adj Data'!$J$8 + 0.5,'Adj Data'!$J$9),"")</f>
        <v/>
      </c>
    </row>
    <row r="16" spans="1:24" x14ac:dyDescent="0.3">
      <c r="A16" s="55" t="str">
        <f>Bracket!$C$30</f>
        <v>South</v>
      </c>
      <c r="B16" s="55">
        <v>10</v>
      </c>
      <c r="C16" s="55" t="str">
        <f ca="1">Bracket!A49</f>
        <v>Temple</v>
      </c>
      <c r="D16" s="60">
        <f ca="1">IFERROR(1-D15,"")</f>
        <v>0.3281903637418172</v>
      </c>
      <c r="E16" s="55" t="str">
        <f>Bracket!$C$86</f>
        <v>West</v>
      </c>
      <c r="F16" s="55">
        <f ca="1">Bracket!$B$97</f>
        <v>3</v>
      </c>
      <c r="G16" s="55" t="str">
        <f>IF(Bracket!$B$96&lt;&gt;"",Bracket!$B$96,"")</f>
        <v>Texas A&amp;M</v>
      </c>
      <c r="H16" s="60">
        <f ca="1">IFERROR(1-H15,"")</f>
        <v>0.67962974662193232</v>
      </c>
      <c r="I16" s="55" t="str">
        <f>Bracket!$Q$86</f>
        <v>Midwest</v>
      </c>
      <c r="J16" s="55" t="str">
        <f>Bracket!$Q$79</f>
        <v/>
      </c>
      <c r="K16" s="55">
        <f>Bracket!$Q$78</f>
        <v>0</v>
      </c>
      <c r="L16" s="60" t="str">
        <f>IFERROR(1-L15,"")</f>
        <v/>
      </c>
    </row>
    <row r="17" spans="1:12" x14ac:dyDescent="0.3">
      <c r="A17" s="55" t="str">
        <f>Bracket!$C$30</f>
        <v>South</v>
      </c>
      <c r="B17" s="55">
        <v>2</v>
      </c>
      <c r="C17" s="55" t="str">
        <f ca="1">Bracket!A52</f>
        <v>Villanova</v>
      </c>
      <c r="D17" s="60">
        <f ca="1">IFERROR(IF((INDEX('Adj Data'!$G$2:$G$352,MATCH(C17,'Adj Data'!$A$2:$A$352,0))-INDEX('Adj Data'!$G$2:$G$352,MATCH(C18,'Adj Data'!$A$2:$A$352,0)))*'Adj Data'!$J$8 + 0.5 &lt; 1,(INDEX('Adj Data'!$G$2:$G$352,MATCH(C17,'Adj Data'!$A$2:$A$352,0))-INDEX('Adj Data'!$G$2:$G$352,MATCH(C18,'Adj Data'!$A$2:$A$352,0)))*'Adj Data'!$J$8 + 0.5,'Adj Data'!$J$9),"")</f>
        <v>0.9360248386973874</v>
      </c>
      <c r="E17" s="55" t="str">
        <f>Bracket!$C$86</f>
        <v>West</v>
      </c>
      <c r="F17" s="55">
        <f ca="1">Bracket!$B$104</f>
        <v>10</v>
      </c>
      <c r="G17" s="55" t="str">
        <f>IF(Bracket!$B$103&lt;&gt;"",Bracket!$B$103,"")</f>
        <v>VCU</v>
      </c>
      <c r="H17" s="60">
        <f ca="1">IFERROR(IF((INDEX('Adj Data'!$G$2:$G$352,MATCH(G17,'Adj Data'!$A$2:$A$352,0))-INDEX('Adj Data'!$G$2:$G$352,MATCH(G18,'Adj Data'!$A$2:$A$352,0)))*'Adj Data'!$J$8 + 0.5 &lt; 1,(INDEX('Adj Data'!$G$2:$G$352,MATCH(G17,'Adj Data'!$A$2:$A$352,0))-INDEX('Adj Data'!$G$2:$G$352,MATCH(G18,'Adj Data'!$A$2:$A$352,0)))*'Adj Data'!$J$8 + 0.5,'Adj Data'!$J$9),"")</f>
        <v>0.35765834592253298</v>
      </c>
      <c r="I17" s="55" t="str">
        <f>Bracket!$Q$86</f>
        <v>Midwest</v>
      </c>
      <c r="J17" s="55" t="str">
        <f>Bracket!$Q$93</f>
        <v/>
      </c>
      <c r="K17" s="55">
        <f>Bracket!$Q$92</f>
        <v>0</v>
      </c>
      <c r="L17" s="60" t="str">
        <f>IFERROR(IF((INDEX('Adj Data'!$G$2:$G$352,MATCH(K17,'Adj Data'!$A$2:$A$352,0))-INDEX('Adj Data'!$G$2:$G$352,MATCH(K18,'Adj Data'!$A$2:$A$352,0)))*'Adj Data'!$J$8 + 0.5 &lt; 1,(INDEX('Adj Data'!$G$2:$G$352,MATCH(K17,'Adj Data'!$A$2:$A$352,0))-INDEX('Adj Data'!$G$2:$G$352,MATCH(K18,'Adj Data'!$A$2:$A$352,0)))*'Adj Data'!$J$8 + 0.5,'Adj Data'!$J$9),"")</f>
        <v/>
      </c>
    </row>
    <row r="18" spans="1:12" x14ac:dyDescent="0.3">
      <c r="A18" s="55" t="str">
        <f>Bracket!$C$30</f>
        <v>South</v>
      </c>
      <c r="B18" s="55">
        <v>15</v>
      </c>
      <c r="C18" s="55" t="str">
        <f ca="1">Bracket!A56</f>
        <v>UNC Asheville</v>
      </c>
      <c r="D18" s="60">
        <f ca="1">IFERROR(1-D17,"")</f>
        <v>6.3975161302612604E-2</v>
      </c>
      <c r="E18" s="55" t="str">
        <f>Bracket!$C$86</f>
        <v>West</v>
      </c>
      <c r="F18" s="55">
        <f ca="1">Bracket!$B$111</f>
        <v>2</v>
      </c>
      <c r="G18" s="55" t="str">
        <f>IF(Bracket!$B$110&lt;&gt;"",Bracket!$B$110,"")</f>
        <v>Oklahoma</v>
      </c>
      <c r="H18" s="60">
        <f ca="1">IFERROR(1-H17,"")</f>
        <v>0.64234165407746702</v>
      </c>
      <c r="I18" s="55" t="str">
        <f>Bracket!$Q$86</f>
        <v>Midwest</v>
      </c>
      <c r="J18" s="55" t="str">
        <f>Bracket!$Q$107</f>
        <v/>
      </c>
      <c r="K18" s="55">
        <f>Bracket!$Q$106</f>
        <v>0</v>
      </c>
      <c r="L18" s="60" t="str">
        <f>IFERROR(1-L17,"")</f>
        <v/>
      </c>
    </row>
    <row r="19" spans="1:12" x14ac:dyDescent="0.3">
      <c r="A19" s="55" t="str">
        <f>Bracket!$C$86</f>
        <v>West</v>
      </c>
      <c r="B19" s="55">
        <v>1</v>
      </c>
      <c r="C19" s="55" t="str">
        <f ca="1">Bracket!A59</f>
        <v>Oregon</v>
      </c>
      <c r="D19" s="60">
        <f ca="1">IFERROR(IF((INDEX('Adj Data'!$G$2:$G$352,MATCH(C19,'Adj Data'!$A$2:$A$352,0))-INDEX('Adj Data'!$G$2:$G$352,MATCH(C20,'Adj Data'!$A$2:$A$352,0)))*'Adj Data'!$J$8 + 0.5 &lt; 1,(INDEX('Adj Data'!$G$2:$G$352,MATCH(C19,'Adj Data'!$A$2:$A$352,0))-INDEX('Adj Data'!$G$2:$G$352,MATCH(C20,'Adj Data'!$A$2:$A$352,0)))*'Adj Data'!$J$8 + 0.5,'Adj Data'!$J$9),"")</f>
        <v>0.99990000000000001</v>
      </c>
      <c r="E19" s="55" t="str">
        <f>Bracket!$Q$30</f>
        <v>East</v>
      </c>
      <c r="F19" s="55">
        <f ca="1">Bracket!$R$6</f>
        <v>1</v>
      </c>
      <c r="G19" s="55" t="str">
        <f>IF(Bracket!$R$5&lt;&gt;"",Bracket!$R$5,"")</f>
        <v>North Carolina</v>
      </c>
      <c r="H19" s="60">
        <f ca="1">IFERROR(IF((INDEX('Adj Data'!$G$2:$G$352,MATCH(G19,'Adj Data'!$A$2:$A$352,0))-INDEX('Adj Data'!$G$2:$G$352,MATCH(G20,'Adj Data'!$A$2:$A$352,0)))*'Adj Data'!$J$8 + 0.5 &lt; 1,(INDEX('Adj Data'!$G$2:$G$352,MATCH(G19,'Adj Data'!$A$2:$A$352,0))-INDEX('Adj Data'!$G$2:$G$352,MATCH(G20,'Adj Data'!$A$2:$A$352,0)))*'Adj Data'!$J$8 + 0.5,'Adj Data'!$J$9),"")</f>
        <v>0.77320612969146119</v>
      </c>
      <c r="L19" s="56"/>
    </row>
    <row r="20" spans="1:12" x14ac:dyDescent="0.3">
      <c r="A20" s="55" t="str">
        <f>Bracket!$C$86</f>
        <v>West</v>
      </c>
      <c r="B20" s="55">
        <v>16</v>
      </c>
      <c r="C20" s="55" t="str">
        <f>Bracket!A63</f>
        <v>Holy Cross</v>
      </c>
      <c r="D20" s="60">
        <f ca="1">IFERROR(1-D19,"")</f>
        <v>9.9999999999988987E-5</v>
      </c>
      <c r="E20" s="55" t="str">
        <f>Bracket!$Q$30</f>
        <v>East</v>
      </c>
      <c r="F20" s="55">
        <f ca="1">Bracket!$R$13</f>
        <v>9</v>
      </c>
      <c r="G20" s="55" t="str">
        <f>IF(Bracket!$R$12&lt;&gt;"",Bracket!$R$12,"")</f>
        <v>Providence</v>
      </c>
      <c r="H20" s="60">
        <f ca="1">IFERROR(1-H19,"")</f>
        <v>0.22679387030853881</v>
      </c>
      <c r="L20" s="56"/>
    </row>
    <row r="21" spans="1:12" x14ac:dyDescent="0.3">
      <c r="A21" s="55" t="str">
        <f>Bracket!$C$86</f>
        <v>West</v>
      </c>
      <c r="B21" s="55">
        <v>8</v>
      </c>
      <c r="C21" s="55" t="str">
        <f ca="1">Bracket!A66</f>
        <v>Saint Joseph's</v>
      </c>
      <c r="D21" s="60">
        <f ca="1">IFERROR(IF((INDEX('Adj Data'!$G$2:$G$352,MATCH(C21,'Adj Data'!$A$2:$A$352,0))-INDEX('Adj Data'!$G$2:$G$352,MATCH(C22,'Adj Data'!$A$2:$A$352,0)))*'Adj Data'!$J$8 + 0.5 &lt; 1,(INDEX('Adj Data'!$G$2:$G$352,MATCH(C21,'Adj Data'!$A$2:$A$352,0))-INDEX('Adj Data'!$G$2:$G$352,MATCH(C22,'Adj Data'!$A$2:$A$352,0)))*'Adj Data'!$J$8 + 0.5,'Adj Data'!$J$9),"")</f>
        <v>0.4715843900572515</v>
      </c>
      <c r="E21" s="55" t="str">
        <f>Bracket!$Q$30</f>
        <v>East</v>
      </c>
      <c r="F21" s="55">
        <f ca="1">Bracket!$R$20</f>
        <v>5</v>
      </c>
      <c r="G21" s="55" t="str">
        <f>IF(Bracket!$R$19&lt;&gt;"",Bracket!$R$19,"")</f>
        <v>Indiana</v>
      </c>
      <c r="H21" s="60">
        <f ca="1">IFERROR(IF((INDEX('Adj Data'!$G$2:$G$352,MATCH(G21,'Adj Data'!$A$2:$A$352,0))-INDEX('Adj Data'!$G$2:$G$352,MATCH(G22,'Adj Data'!$A$2:$A$352,0)))*'Adj Data'!$J$8 + 0.5 &lt; 1,(INDEX('Adj Data'!$G$2:$G$352,MATCH(G21,'Adj Data'!$A$2:$A$352,0))-INDEX('Adj Data'!$G$2:$G$352,MATCH(G22,'Adj Data'!$A$2:$A$352,0)))*'Adj Data'!$J$8 + 0.5,'Adj Data'!$J$9),"")</f>
        <v>0.4136733353031119</v>
      </c>
      <c r="L21" s="56"/>
    </row>
    <row r="22" spans="1:12" x14ac:dyDescent="0.3">
      <c r="A22" s="55" t="str">
        <f>Bracket!$C$86</f>
        <v>West</v>
      </c>
      <c r="B22" s="55">
        <v>9</v>
      </c>
      <c r="C22" s="55" t="str">
        <f ca="1">Bracket!A70</f>
        <v>Cincinnati</v>
      </c>
      <c r="D22" s="60">
        <f ca="1">IFERROR(1-D21,"")</f>
        <v>0.5284156099427485</v>
      </c>
      <c r="E22" s="55" t="str">
        <f>Bracket!$Q$30</f>
        <v>East</v>
      </c>
      <c r="F22" s="55">
        <f ca="1">Bracket!$R$27</f>
        <v>4</v>
      </c>
      <c r="G22" s="55" t="str">
        <f>IF(Bracket!$R$26&lt;&gt;"",Bracket!$R$26,"")</f>
        <v>Kentucky</v>
      </c>
      <c r="H22" s="60">
        <f ca="1">IFERROR(1-H21,"")</f>
        <v>0.5863266646968881</v>
      </c>
      <c r="L22" s="56"/>
    </row>
    <row r="23" spans="1:12" x14ac:dyDescent="0.3">
      <c r="A23" s="55" t="str">
        <f>Bracket!$C$86</f>
        <v>West</v>
      </c>
      <c r="B23" s="55">
        <v>5</v>
      </c>
      <c r="C23" s="55" t="str">
        <f ca="1">Bracket!A73</f>
        <v>Baylor</v>
      </c>
      <c r="D23" s="60">
        <f ca="1">IFERROR(IF((INDEX('Adj Data'!$G$2:$G$352,MATCH(C23,'Adj Data'!$A$2:$A$352,0))-INDEX('Adj Data'!$G$2:$G$352,MATCH(C24,'Adj Data'!$A$2:$A$352,0)))*'Adj Data'!$J$8 + 0.5 &lt; 1,(INDEX('Adj Data'!$G$2:$G$352,MATCH(C23,'Adj Data'!$A$2:$A$352,0))-INDEX('Adj Data'!$G$2:$G$352,MATCH(C24,'Adj Data'!$A$2:$A$352,0)))*'Adj Data'!$J$8 + 0.5,'Adj Data'!$J$9),"")</f>
        <v>0.56783702350052279</v>
      </c>
      <c r="E23" s="55" t="str">
        <f>Bracket!$Q$30</f>
        <v>East</v>
      </c>
      <c r="F23" s="55">
        <f ca="1">Bracket!$R$34</f>
        <v>6</v>
      </c>
      <c r="G23" s="55" t="str">
        <f>IF(Bracket!$R$33&lt;&gt;"",Bracket!$R$33,"")</f>
        <v>Notre Dame</v>
      </c>
      <c r="H23" s="60">
        <f ca="1">IFERROR(IF((INDEX('Adj Data'!$G$2:$G$352,MATCH(G23,'Adj Data'!$A$2:$A$352,0))-INDEX('Adj Data'!$G$2:$G$352,MATCH(G24,'Adj Data'!$A$2:$A$352,0)))*'Adj Data'!$J$8 + 0.5 &lt; 1,(INDEX('Adj Data'!$G$2:$G$352,MATCH(G23,'Adj Data'!$A$2:$A$352,0))-INDEX('Adj Data'!$G$2:$G$352,MATCH(G24,'Adj Data'!$A$2:$A$352,0)))*'Adj Data'!$J$8 + 0.5,'Adj Data'!$J$9),"")</f>
        <v>0.55379912875813708</v>
      </c>
      <c r="L23" s="56"/>
    </row>
    <row r="24" spans="1:12" x14ac:dyDescent="0.3">
      <c r="A24" s="55" t="str">
        <f>Bracket!$C$86</f>
        <v>West</v>
      </c>
      <c r="B24" s="55">
        <v>12</v>
      </c>
      <c r="C24" s="55" t="str">
        <f ca="1">Bracket!A77</f>
        <v>Yale</v>
      </c>
      <c r="D24" s="60">
        <f ca="1">IFERROR(1-D23,"")</f>
        <v>0.43216297649947721</v>
      </c>
      <c r="E24" s="55" t="str">
        <f>Bracket!$Q$30</f>
        <v>East</v>
      </c>
      <c r="F24" s="55">
        <f ca="1">Bracket!$R$41</f>
        <v>14</v>
      </c>
      <c r="G24" s="55" t="str">
        <f>IF(Bracket!$R$40&lt;&gt;"",Bracket!$R$40,"")</f>
        <v>SF Austin</v>
      </c>
      <c r="H24" s="60">
        <f ca="1">IFERROR(1-H23,"")</f>
        <v>0.44620087124186292</v>
      </c>
      <c r="J24" s="57"/>
      <c r="L24" s="56"/>
    </row>
    <row r="25" spans="1:12" x14ac:dyDescent="0.3">
      <c r="A25" s="55" t="str">
        <f>Bracket!$C$86</f>
        <v>West</v>
      </c>
      <c r="B25" s="55">
        <v>4</v>
      </c>
      <c r="C25" s="55" t="str">
        <f ca="1">Bracket!A80</f>
        <v>Duke</v>
      </c>
      <c r="D25" s="60">
        <f ca="1">IFERROR(IF((INDEX('Adj Data'!$G$2:$G$352,MATCH(C25,'Adj Data'!$A$2:$A$352,0))-INDEX('Adj Data'!$G$2:$G$352,MATCH(C26,'Adj Data'!$A$2:$A$352,0)))*'Adj Data'!$J$8 + 0.5 &lt; 1,(INDEX('Adj Data'!$G$2:$G$352,MATCH(C25,'Adj Data'!$A$2:$A$352,0))-INDEX('Adj Data'!$G$2:$G$352,MATCH(C26,'Adj Data'!$A$2:$A$352,0)))*'Adj Data'!$J$8 + 0.5,'Adj Data'!$J$9),"")</f>
        <v>0.79521911299189463</v>
      </c>
      <c r="E25" s="55" t="str">
        <f>Bracket!$Q$30</f>
        <v>East</v>
      </c>
      <c r="F25" s="55">
        <f ca="1">Bracket!$R$48</f>
        <v>7</v>
      </c>
      <c r="G25" s="55" t="str">
        <f>IF(Bracket!$R$47&lt;&gt;"",Bracket!$R$47,"")</f>
        <v>Wisconsin</v>
      </c>
      <c r="H25" s="60">
        <f ca="1">IFERROR(IF((INDEX('Adj Data'!$G$2:$G$352,MATCH(G25,'Adj Data'!$A$2:$A$352,0))-INDEX('Adj Data'!$G$2:$G$352,MATCH(G26,'Adj Data'!$A$2:$A$352,0)))*'Adj Data'!$J$8 + 0.5 &lt; 1,(INDEX('Adj Data'!$G$2:$G$352,MATCH(G25,'Adj Data'!$A$2:$A$352,0))-INDEX('Adj Data'!$G$2:$G$352,MATCH(G26,'Adj Data'!$A$2:$A$352,0)))*'Adj Data'!$J$8 + 0.5,'Adj Data'!$J$9),"")</f>
        <v>0.45881229584904171</v>
      </c>
      <c r="L25" s="56"/>
    </row>
    <row r="26" spans="1:12" x14ac:dyDescent="0.3">
      <c r="A26" s="55" t="str">
        <f>Bracket!$C$86</f>
        <v>West</v>
      </c>
      <c r="B26" s="55">
        <v>13</v>
      </c>
      <c r="C26" s="55" t="str">
        <f ca="1">Bracket!A84</f>
        <v>UNC Wilmington</v>
      </c>
      <c r="D26" s="60">
        <f ca="1">IFERROR(1-D25,"")</f>
        <v>0.20478088700810537</v>
      </c>
      <c r="E26" s="55" t="str">
        <f>Bracket!$Q$30</f>
        <v>East</v>
      </c>
      <c r="F26" s="55">
        <f ca="1">Bracket!$R$55</f>
        <v>2</v>
      </c>
      <c r="G26" s="55" t="str">
        <f>IF(Bracket!$R$54&lt;&gt;"",Bracket!$R$54,"")</f>
        <v>Xavier</v>
      </c>
      <c r="H26" s="60">
        <f ca="1">IFERROR(1-H25,"")</f>
        <v>0.54118770415095829</v>
      </c>
      <c r="L26" s="56"/>
    </row>
    <row r="27" spans="1:12" x14ac:dyDescent="0.3">
      <c r="A27" s="55" t="str">
        <f>Bracket!$C$86</f>
        <v>West</v>
      </c>
      <c r="B27" s="55">
        <v>6</v>
      </c>
      <c r="C27" s="55" t="str">
        <f ca="1">Bracket!A87</f>
        <v>Texas</v>
      </c>
      <c r="D27" s="60">
        <f ca="1">IFERROR(IF((INDEX('Adj Data'!$G$2:$G$352,MATCH(C27,'Adj Data'!$A$2:$A$352,0))-INDEX('Adj Data'!$G$2:$G$352,MATCH(C28,'Adj Data'!$A$2:$A$352,0)))*'Adj Data'!$J$8 + 0.5 &lt; 1,(INDEX('Adj Data'!$G$2:$G$352,MATCH(C27,'Adj Data'!$A$2:$A$352,0))-INDEX('Adj Data'!$G$2:$G$352,MATCH(C28,'Adj Data'!$A$2:$A$352,0)))*'Adj Data'!$J$8 + 0.5,'Adj Data'!$J$9),"")</f>
        <v>0.61099077106592281</v>
      </c>
      <c r="E27" s="55" t="str">
        <f>Bracket!$Q$86</f>
        <v>Midwest</v>
      </c>
      <c r="F27" s="55">
        <f ca="1">Bracket!$R$62</f>
        <v>1</v>
      </c>
      <c r="G27" s="55" t="str">
        <f>IF(Bracket!$R$61&lt;&gt;"",Bracket!$R$61,"")</f>
        <v>Virginia</v>
      </c>
      <c r="H27" s="60">
        <f ca="1">IFERROR(IF((INDEX('Adj Data'!$G$2:$G$352,MATCH(G27,'Adj Data'!$A$2:$A$352,0))-INDEX('Adj Data'!$G$2:$G$352,MATCH(G28,'Adj Data'!$A$2:$A$352,0)))*'Adj Data'!$J$8 + 0.5 &lt; 1,(INDEX('Adj Data'!$G$2:$G$352,MATCH(G27,'Adj Data'!$A$2:$A$352,0))-INDEX('Adj Data'!$G$2:$G$352,MATCH(G28,'Adj Data'!$A$2:$A$352,0)))*'Adj Data'!$J$8 + 0.5,'Adj Data'!$J$9),"")</f>
        <v>0.7020169124629273</v>
      </c>
      <c r="L27" s="56"/>
    </row>
    <row r="28" spans="1:12" x14ac:dyDescent="0.3">
      <c r="A28" s="55" t="str">
        <f>Bracket!$C$86</f>
        <v>West</v>
      </c>
      <c r="B28" s="55">
        <v>11</v>
      </c>
      <c r="C28" s="55" t="str">
        <f ca="1">Bracket!A91</f>
        <v>Northern Iowa</v>
      </c>
      <c r="D28" s="60">
        <f ca="1">IFERROR(1-D27,"")</f>
        <v>0.38900922893407719</v>
      </c>
      <c r="E28" s="55" t="str">
        <f>Bracket!$Q$86</f>
        <v>Midwest</v>
      </c>
      <c r="F28" s="55">
        <f ca="1">Bracket!$R$69</f>
        <v>9</v>
      </c>
      <c r="G28" s="55" t="str">
        <f>IF(Bracket!$R$68&lt;&gt;"",Bracket!$R$68,"")</f>
        <v>Butler</v>
      </c>
      <c r="H28" s="60">
        <f ca="1">IFERROR(1-H27,"")</f>
        <v>0.2979830875370727</v>
      </c>
      <c r="L28" s="56"/>
    </row>
    <row r="29" spans="1:12" x14ac:dyDescent="0.3">
      <c r="A29" s="55" t="str">
        <f>Bracket!$C$86</f>
        <v>West</v>
      </c>
      <c r="B29" s="55">
        <v>3</v>
      </c>
      <c r="C29" s="55" t="str">
        <f ca="1">Bracket!A94</f>
        <v>Texas A&amp;M</v>
      </c>
      <c r="D29" s="60">
        <f ca="1">IFERROR(IF((INDEX('Adj Data'!$G$2:$G$352,MATCH(C29,'Adj Data'!$A$2:$A$352,0))-INDEX('Adj Data'!$G$2:$G$352,MATCH(C30,'Adj Data'!$A$2:$A$352,0)))*'Adj Data'!$J$8 + 0.5 &lt; 1,(INDEX('Adj Data'!$G$2:$G$352,MATCH(C29,'Adj Data'!$A$2:$A$352,0))-INDEX('Adj Data'!$G$2:$G$352,MATCH(C30,'Adj Data'!$A$2:$A$352,0)))*'Adj Data'!$J$8 + 0.5,'Adj Data'!$J$9),"")</f>
        <v>0.81371710123558616</v>
      </c>
      <c r="E29" s="55" t="str">
        <f>Bracket!$Q$86</f>
        <v>Midwest</v>
      </c>
      <c r="F29" s="55">
        <f ca="1">Bracket!$R$76</f>
        <v>12</v>
      </c>
      <c r="G29" s="55" t="str">
        <f>IF(Bracket!$R$75&lt;&gt;"",Bracket!$R$75,"")</f>
        <v>AR Little Rock</v>
      </c>
      <c r="H29" s="60">
        <f ca="1">IFERROR(IF((INDEX('Adj Data'!$G$2:$G$352,MATCH(G29,'Adj Data'!$A$2:$A$352,0))-INDEX('Adj Data'!$G$2:$G$352,MATCH(G30,'Adj Data'!$A$2:$A$352,0)))*'Adj Data'!$J$8 + 0.5 &lt; 1,(INDEX('Adj Data'!$G$2:$G$352,MATCH(G29,'Adj Data'!$A$2:$A$352,0))-INDEX('Adj Data'!$G$2:$G$352,MATCH(G30,'Adj Data'!$A$2:$A$352,0)))*'Adj Data'!$J$8 + 0.5,'Adj Data'!$J$9),"")</f>
        <v>0.31080292500830731</v>
      </c>
      <c r="L29" s="56"/>
    </row>
    <row r="30" spans="1:12" x14ac:dyDescent="0.3">
      <c r="A30" s="55" t="str">
        <f>Bracket!$C$86</f>
        <v>West</v>
      </c>
      <c r="B30" s="55">
        <v>14</v>
      </c>
      <c r="C30" s="55" t="str">
        <f ca="1">Bracket!A98</f>
        <v>Green Bay</v>
      </c>
      <c r="D30" s="60">
        <f ca="1">IFERROR(1-D29,"")</f>
        <v>0.18628289876441384</v>
      </c>
      <c r="E30" s="55" t="str">
        <f>Bracket!$Q$86</f>
        <v>Midwest</v>
      </c>
      <c r="F30" s="55">
        <f ca="1">Bracket!$R$83</f>
        <v>4</v>
      </c>
      <c r="G30" s="55" t="str">
        <f>IF(Bracket!$R$82&lt;&gt;"",Bracket!$R$82,"")</f>
        <v>Iowa State</v>
      </c>
      <c r="H30" s="60">
        <f ca="1">IFERROR(1-H29,"")</f>
        <v>0.68919707499169269</v>
      </c>
      <c r="L30" s="56"/>
    </row>
    <row r="31" spans="1:12" x14ac:dyDescent="0.3">
      <c r="A31" s="55" t="str">
        <f>Bracket!$C$86</f>
        <v>West</v>
      </c>
      <c r="B31" s="55">
        <v>7</v>
      </c>
      <c r="C31" s="55" t="str">
        <f ca="1">Bracket!A101</f>
        <v>Oregon State</v>
      </c>
      <c r="D31" s="60">
        <f ca="1">IFERROR(IF((INDEX('Adj Data'!$G$2:$G$352,MATCH(C31,'Adj Data'!$A$2:$A$352,0))-INDEX('Adj Data'!$G$2:$G$352,MATCH(C32,'Adj Data'!$A$2:$A$352,0)))*'Adj Data'!$J$8 + 0.5 &lt; 1,(INDEX('Adj Data'!$G$2:$G$352,MATCH(C31,'Adj Data'!$A$2:$A$352,0))-INDEX('Adj Data'!$G$2:$G$352,MATCH(C32,'Adj Data'!$A$2:$A$352,0)))*'Adj Data'!$J$8 + 0.5,'Adj Data'!$J$9),"")</f>
        <v>0.40148480234856265</v>
      </c>
      <c r="E31" s="55" t="str">
        <f>Bracket!$Q$86</f>
        <v>Midwest</v>
      </c>
      <c r="F31" s="55">
        <f ca="1">Bracket!$R$90</f>
        <v>11</v>
      </c>
      <c r="G31" s="55" t="str">
        <f>IF(Bracket!$R$89&lt;&gt;"",Bracket!$R$89,"")</f>
        <v>Gonzaga</v>
      </c>
      <c r="H31" s="60">
        <f ca="1">IFERROR(IF((INDEX('Adj Data'!$G$2:$G$352,MATCH(G31,'Adj Data'!$A$2:$A$352,0))-INDEX('Adj Data'!$G$2:$G$352,MATCH(G32,'Adj Data'!$A$2:$A$352,0)))*'Adj Data'!$J$8 + 0.5 &lt; 1,(INDEX('Adj Data'!$G$2:$G$352,MATCH(G31,'Adj Data'!$A$2:$A$352,0))-INDEX('Adj Data'!$G$2:$G$352,MATCH(G32,'Adj Data'!$A$2:$A$352,0)))*'Adj Data'!$J$8 + 0.5,'Adj Data'!$J$9),"")</f>
        <v>0.55959657483037728</v>
      </c>
      <c r="L31" s="56"/>
    </row>
    <row r="32" spans="1:12" x14ac:dyDescent="0.3">
      <c r="A32" s="55" t="str">
        <f>Bracket!$C$86</f>
        <v>West</v>
      </c>
      <c r="B32" s="55">
        <v>10</v>
      </c>
      <c r="C32" s="55" t="str">
        <f ca="1">Bracket!A105</f>
        <v>VCU</v>
      </c>
      <c r="D32" s="60">
        <f ca="1">IFERROR(1-D31,"")</f>
        <v>0.59851519765143735</v>
      </c>
      <c r="E32" s="55" t="str">
        <f>Bracket!$Q$86</f>
        <v>Midwest</v>
      </c>
      <c r="F32" s="55">
        <f ca="1">Bracket!$R$97</f>
        <v>3</v>
      </c>
      <c r="G32" s="55" t="str">
        <f>IF(Bracket!$R$96&lt;&gt;"",Bracket!$R$96,"")</f>
        <v>Utah</v>
      </c>
      <c r="H32" s="60">
        <f ca="1">IFERROR(1-H31,"")</f>
        <v>0.44040342516962272</v>
      </c>
      <c r="L32" s="56"/>
    </row>
    <row r="33" spans="1:12" x14ac:dyDescent="0.3">
      <c r="A33" s="55" t="str">
        <f>Bracket!$C$86</f>
        <v>West</v>
      </c>
      <c r="B33" s="55">
        <v>2</v>
      </c>
      <c r="C33" s="55" t="str">
        <f ca="1">Bracket!A108</f>
        <v>Oklahoma</v>
      </c>
      <c r="D33" s="60">
        <f ca="1">IFERROR(IF((INDEX('Adj Data'!$G$2:$G$352,MATCH(C33,'Adj Data'!$A$2:$A$352,0))-INDEX('Adj Data'!$G$2:$G$352,MATCH(C34,'Adj Data'!$A$2:$A$352,0)))*'Adj Data'!$J$8 + 0.5 &lt; 1,(INDEX('Adj Data'!$G$2:$G$352,MATCH(C33,'Adj Data'!$A$2:$A$352,0))-INDEX('Adj Data'!$G$2:$G$352,MATCH(C34,'Adj Data'!$A$2:$A$352,0)))*'Adj Data'!$J$8 + 0.5,'Adj Data'!$J$9),"")</f>
        <v>0.86225515429442534</v>
      </c>
      <c r="E33" s="55" t="str">
        <f>Bracket!$Q$86</f>
        <v>Midwest</v>
      </c>
      <c r="F33" s="55">
        <f ca="1">Bracket!$R$104</f>
        <v>10</v>
      </c>
      <c r="G33" s="55" t="str">
        <f>IF(Bracket!$R$103&lt;&gt;"",Bracket!$R$103,"")</f>
        <v>Syracuse</v>
      </c>
      <c r="H33" s="60">
        <f ca="1">IFERROR(IF((INDEX('Adj Data'!$G$2:$G$352,MATCH(G33,'Adj Data'!$A$2:$A$352,0))-INDEX('Adj Data'!$G$2:$G$352,MATCH(G34,'Adj Data'!$A$2:$A$352,0)))*'Adj Data'!$J$8 + 0.5 &lt; 1,(INDEX('Adj Data'!$G$2:$G$352,MATCH(G33,'Adj Data'!$A$2:$A$352,0))-INDEX('Adj Data'!$G$2:$G$352,MATCH(G34,'Adj Data'!$A$2:$A$352,0)))*'Adj Data'!$J$8 + 0.5,'Adj Data'!$J$9),"")</f>
        <v>0.73110023970362503</v>
      </c>
      <c r="L33" s="56"/>
    </row>
    <row r="34" spans="1:12" x14ac:dyDescent="0.3">
      <c r="A34" s="55" t="str">
        <f>Bracket!$C$86</f>
        <v>West</v>
      </c>
      <c r="B34" s="55">
        <v>15</v>
      </c>
      <c r="C34" s="55" t="str">
        <f ca="1">Bracket!A112</f>
        <v>CSU Bakersfield</v>
      </c>
      <c r="D34" s="60">
        <f ca="1">IFERROR(1-D33,"")</f>
        <v>0.13774484570557466</v>
      </c>
      <c r="E34" s="55" t="str">
        <f>Bracket!$Q$86</f>
        <v>Midwest</v>
      </c>
      <c r="F34" s="55">
        <f ca="1">Bracket!$R$111</f>
        <v>15</v>
      </c>
      <c r="G34" s="55" t="str">
        <f>IF(Bracket!$R$110&lt;&gt;"",Bracket!$R$110,"")</f>
        <v>Middle Tennessee</v>
      </c>
      <c r="H34" s="60">
        <f ca="1">IFERROR(1-H33,"")</f>
        <v>0.26889976029637497</v>
      </c>
      <c r="L34" s="56"/>
    </row>
    <row r="35" spans="1:12" x14ac:dyDescent="0.3">
      <c r="A35" s="55" t="str">
        <f>Bracket!$Q$30</f>
        <v>East</v>
      </c>
      <c r="B35" s="55">
        <v>1</v>
      </c>
      <c r="C35" s="55" t="str">
        <f ca="1">Bracket!S3</f>
        <v>North Carolina</v>
      </c>
      <c r="D35" s="60">
        <f ca="1">IFERROR(IF((INDEX('Adj Data'!$G$2:$G$352,MATCH(C35,'Adj Data'!$A$2:$A$352,0))-INDEX('Adj Data'!$G$2:$G$352,MATCH(C36,'Adj Data'!$A$2:$A$352,0)))*'Adj Data'!$J$8 + 0.5 &lt; 1,(INDEX('Adj Data'!$G$2:$G$352,MATCH(C35,'Adj Data'!$A$2:$A$352,0))-INDEX('Adj Data'!$G$2:$G$352,MATCH(C36,'Adj Data'!$A$2:$A$352,0)))*'Adj Data'!$J$8 + 0.5,'Adj Data'!$J$9),"")</f>
        <v>0.99990000000000001</v>
      </c>
    </row>
    <row r="36" spans="1:12" x14ac:dyDescent="0.3">
      <c r="A36" s="55" t="str">
        <f>Bracket!$Q$30</f>
        <v>East</v>
      </c>
      <c r="B36" s="55">
        <v>16</v>
      </c>
      <c r="C36" s="55" t="str">
        <f>Bracket!S7</f>
        <v>Florida Gulf Coast</v>
      </c>
      <c r="D36" s="60">
        <f ca="1">IFERROR(1-D35,"")</f>
        <v>9.9999999999988987E-5</v>
      </c>
    </row>
    <row r="37" spans="1:12" x14ac:dyDescent="0.3">
      <c r="A37" s="55" t="str">
        <f>Bracket!$Q$30</f>
        <v>East</v>
      </c>
      <c r="B37" s="55">
        <v>8</v>
      </c>
      <c r="C37" s="55" t="str">
        <f ca="1">Bracket!S10</f>
        <v>USC</v>
      </c>
      <c r="D37" s="60">
        <f ca="1">IFERROR(IF((INDEX('Adj Data'!$G$2:$G$352,MATCH(C37,'Adj Data'!$A$2:$A$352,0))-INDEX('Adj Data'!$G$2:$G$352,MATCH(C38,'Adj Data'!$A$2:$A$352,0)))*'Adj Data'!$J$8 + 0.5 &lt; 1,(INDEX('Adj Data'!$G$2:$G$352,MATCH(C37,'Adj Data'!$A$2:$A$352,0))-INDEX('Adj Data'!$G$2:$G$352,MATCH(C38,'Adj Data'!$A$2:$A$352,0)))*'Adj Data'!$J$8 + 0.5,'Adj Data'!$J$9),"")</f>
        <v>0.51194183953107608</v>
      </c>
    </row>
    <row r="38" spans="1:12" x14ac:dyDescent="0.3">
      <c r="A38" s="55" t="str">
        <f>Bracket!$Q$30</f>
        <v>East</v>
      </c>
      <c r="B38" s="55">
        <v>9</v>
      </c>
      <c r="C38" s="55" t="str">
        <f ca="1">Bracket!S14</f>
        <v>Providence</v>
      </c>
      <c r="D38" s="60">
        <f ca="1">IFERROR(1-D37,"")</f>
        <v>0.48805816046892392</v>
      </c>
    </row>
    <row r="39" spans="1:12" x14ac:dyDescent="0.3">
      <c r="A39" s="55" t="str">
        <f>Bracket!$Q$30</f>
        <v>East</v>
      </c>
      <c r="B39" s="55">
        <v>5</v>
      </c>
      <c r="C39" s="55" t="str">
        <f ca="1">Bracket!S17</f>
        <v>Indiana</v>
      </c>
      <c r="D39" s="60">
        <f ca="1">IFERROR(IF((INDEX('Adj Data'!$G$2:$G$352,MATCH(C39,'Adj Data'!$A$2:$A$352,0))-INDEX('Adj Data'!$G$2:$G$352,MATCH(C40,'Adj Data'!$A$2:$A$352,0)))*'Adj Data'!$J$8 + 0.5 &lt; 1,(INDEX('Adj Data'!$G$2:$G$352,MATCH(C39,'Adj Data'!$A$2:$A$352,0))-INDEX('Adj Data'!$G$2:$G$352,MATCH(C40,'Adj Data'!$A$2:$A$352,0)))*'Adj Data'!$J$8 + 0.5,'Adj Data'!$J$9),"")</f>
        <v>0.80028796609358632</v>
      </c>
    </row>
    <row r="40" spans="1:12" x14ac:dyDescent="0.3">
      <c r="A40" s="55" t="str">
        <f>Bracket!$Q$30</f>
        <v>East</v>
      </c>
      <c r="B40" s="55">
        <v>12</v>
      </c>
      <c r="C40" s="55" t="str">
        <f ca="1">Bracket!S21</f>
        <v>Chattanooga</v>
      </c>
      <c r="D40" s="60">
        <f ca="1">IFERROR(1-D39,"")</f>
        <v>0.19971203390641368</v>
      </c>
    </row>
    <row r="41" spans="1:12" x14ac:dyDescent="0.3">
      <c r="A41" s="55" t="str">
        <f>Bracket!$Q$30</f>
        <v>East</v>
      </c>
      <c r="B41" s="55">
        <v>4</v>
      </c>
      <c r="C41" s="55" t="str">
        <f ca="1">Bracket!S24</f>
        <v>Kentucky</v>
      </c>
      <c r="D41" s="60">
        <f ca="1">IFERROR(IF((INDEX('Adj Data'!$G$2:$G$352,MATCH(C41,'Adj Data'!$A$2:$A$352,0))-INDEX('Adj Data'!$G$2:$G$352,MATCH(C42,'Adj Data'!$A$2:$A$352,0)))*'Adj Data'!$J$8 + 0.5 &lt; 1,(INDEX('Adj Data'!$G$2:$G$352,MATCH(C41,'Adj Data'!$A$2:$A$352,0))-INDEX('Adj Data'!$G$2:$G$352,MATCH(C42,'Adj Data'!$A$2:$A$352,0)))*'Adj Data'!$J$8 + 0.5,'Adj Data'!$J$9),"")</f>
        <v>0.85754529805634006</v>
      </c>
    </row>
    <row r="42" spans="1:12" x14ac:dyDescent="0.3">
      <c r="A42" s="55" t="str">
        <f>Bracket!$Q$30</f>
        <v>East</v>
      </c>
      <c r="B42" s="55">
        <v>13</v>
      </c>
      <c r="C42" s="55" t="str">
        <f ca="1">Bracket!S28</f>
        <v>Stony Brook</v>
      </c>
      <c r="D42" s="60">
        <f ca="1">IFERROR(1-D41,"")</f>
        <v>0.14245470194365994</v>
      </c>
    </row>
    <row r="43" spans="1:12" x14ac:dyDescent="0.3">
      <c r="A43" s="55" t="str">
        <f>Bracket!$Q$30</f>
        <v>East</v>
      </c>
      <c r="B43" s="55">
        <v>6</v>
      </c>
      <c r="C43" s="55" t="str">
        <f ca="1">Bracket!S31</f>
        <v>Notre Dame</v>
      </c>
      <c r="D43" s="60">
        <f ca="1">IFERROR(IF((INDEX('Adj Data'!$G$2:$G$352,MATCH(C43,'Adj Data'!$A$2:$A$352,0))-INDEX('Adj Data'!$G$2:$G$352,MATCH(C44,'Adj Data'!$A$2:$A$352,0)))*'Adj Data'!$J$8 + 0.5 &lt; 1,(INDEX('Adj Data'!$G$2:$G$352,MATCH(C43,'Adj Data'!$A$2:$A$352,0))-INDEX('Adj Data'!$G$2:$G$352,MATCH(C44,'Adj Data'!$A$2:$A$352,0)))*'Adj Data'!$J$8 + 0.5,'Adj Data'!$J$9),"")</f>
        <v>0.54316802014274912</v>
      </c>
    </row>
    <row r="44" spans="1:12" x14ac:dyDescent="0.3">
      <c r="A44" s="55" t="str">
        <f>Bracket!$Q$30</f>
        <v>East</v>
      </c>
      <c r="B44" s="55">
        <v>11</v>
      </c>
      <c r="C44" s="55" t="str">
        <f>Bracket!S35</f>
        <v>Michigan</v>
      </c>
      <c r="D44" s="60">
        <f ca="1">IFERROR(1-D43,"")</f>
        <v>0.45683197985725088</v>
      </c>
    </row>
    <row r="45" spans="1:12" x14ac:dyDescent="0.3">
      <c r="A45" s="55" t="str">
        <f>Bracket!$Q$30</f>
        <v>East</v>
      </c>
      <c r="B45" s="55">
        <v>3</v>
      </c>
      <c r="C45" s="55" t="str">
        <f ca="1">Bracket!S38</f>
        <v>West Virginia</v>
      </c>
      <c r="D45" s="60">
        <f ca="1">IFERROR(IF((INDEX('Adj Data'!$G$2:$G$352,MATCH(C45,'Adj Data'!$A$2:$A$352,0))-INDEX('Adj Data'!$G$2:$G$352,MATCH(C46,'Adj Data'!$A$2:$A$352,0)))*'Adj Data'!$J$8 + 0.5 &lt; 1,(INDEX('Adj Data'!$G$2:$G$352,MATCH(C45,'Adj Data'!$A$2:$A$352,0))-INDEX('Adj Data'!$G$2:$G$352,MATCH(C46,'Adj Data'!$A$2:$A$352,0)))*'Adj Data'!$J$8 + 0.5,'Adj Data'!$J$9),"")</f>
        <v>0.63085103728779257</v>
      </c>
    </row>
    <row r="46" spans="1:12" x14ac:dyDescent="0.3">
      <c r="A46" s="55" t="str">
        <f>Bracket!$Q$30</f>
        <v>East</v>
      </c>
      <c r="B46" s="55">
        <v>14</v>
      </c>
      <c r="C46" s="55" t="str">
        <f ca="1">Bracket!S42</f>
        <v>SF Austin</v>
      </c>
      <c r="D46" s="60">
        <f ca="1">IFERROR(1-D45,"")</f>
        <v>0.36914896271220743</v>
      </c>
    </row>
    <row r="47" spans="1:12" x14ac:dyDescent="0.3">
      <c r="A47" s="55" t="str">
        <f>Bracket!$Q$30</f>
        <v>East</v>
      </c>
      <c r="B47" s="55">
        <v>7</v>
      </c>
      <c r="C47" s="55" t="str">
        <f ca="1">Bracket!S45</f>
        <v>Wisconsin</v>
      </c>
      <c r="D47" s="60">
        <f ca="1">IFERROR(IF((INDEX('Adj Data'!$G$2:$G$352,MATCH(C47,'Adj Data'!$A$2:$A$352,0))-INDEX('Adj Data'!$G$2:$G$352,MATCH(C48,'Adj Data'!$A$2:$A$352,0)))*'Adj Data'!$J$8 + 0.5 &lt; 1,(INDEX('Adj Data'!$G$2:$G$352,MATCH(C47,'Adj Data'!$A$2:$A$352,0))-INDEX('Adj Data'!$G$2:$G$352,MATCH(C48,'Adj Data'!$A$2:$A$352,0)))*'Adj Data'!$J$8 + 0.5,'Adj Data'!$J$9),"")</f>
        <v>0.51982780961932595</v>
      </c>
    </row>
    <row r="48" spans="1:12" x14ac:dyDescent="0.3">
      <c r="A48" s="55" t="str">
        <f>Bracket!$Q$30</f>
        <v>East</v>
      </c>
      <c r="B48" s="55">
        <v>10</v>
      </c>
      <c r="C48" s="55" t="str">
        <f ca="1">Bracket!S49</f>
        <v>Pitt</v>
      </c>
      <c r="D48" s="60">
        <f ca="1">IFERROR(1-D47,"")</f>
        <v>0.48017219038067405</v>
      </c>
    </row>
    <row r="49" spans="1:4" x14ac:dyDescent="0.3">
      <c r="A49" s="55" t="str">
        <f>Bracket!$Q$30</f>
        <v>East</v>
      </c>
      <c r="B49" s="55">
        <v>2</v>
      </c>
      <c r="C49" s="55" t="str">
        <f ca="1">Bracket!S52</f>
        <v>Xavier</v>
      </c>
      <c r="D49" s="60">
        <f ca="1">IFERROR(IF((INDEX('Adj Data'!$G$2:$G$352,MATCH(C49,'Adj Data'!$A$2:$A$352,0))-INDEX('Adj Data'!$G$2:$G$352,MATCH(C50,'Adj Data'!$A$2:$A$352,0)))*'Adj Data'!$J$8 + 0.5 &lt; 1,(INDEX('Adj Data'!$G$2:$G$352,MATCH(C49,'Adj Data'!$A$2:$A$352,0))-INDEX('Adj Data'!$G$2:$G$352,MATCH(C50,'Adj Data'!$A$2:$A$352,0)))*'Adj Data'!$J$8 + 0.5,'Adj Data'!$J$9),"")</f>
        <v>0.83481672433214871</v>
      </c>
    </row>
    <row r="50" spans="1:4" x14ac:dyDescent="0.3">
      <c r="A50" s="55" t="str">
        <f>Bracket!$Q$30</f>
        <v>East</v>
      </c>
      <c r="B50" s="55">
        <v>15</v>
      </c>
      <c r="C50" s="55" t="str">
        <f ca="1">Bracket!S56</f>
        <v>Weber State</v>
      </c>
      <c r="D50" s="60">
        <f ca="1">IFERROR(1-D49,"")</f>
        <v>0.16518327566785129</v>
      </c>
    </row>
    <row r="51" spans="1:4" x14ac:dyDescent="0.3">
      <c r="A51" s="55" t="str">
        <f>Bracket!$Q$86</f>
        <v>Midwest</v>
      </c>
      <c r="B51" s="55">
        <v>1</v>
      </c>
      <c r="C51" s="55" t="str">
        <f ca="1">Bracket!S59</f>
        <v>Virginia</v>
      </c>
      <c r="D51" s="60">
        <f ca="1">IFERROR(IF((INDEX('Adj Data'!$G$2:$G$352,MATCH(C51,'Adj Data'!$A$2:$A$352,0))-INDEX('Adj Data'!$G$2:$G$352,MATCH(C52,'Adj Data'!$A$2:$A$352,0)))*'Adj Data'!$J$8 + 0.5 &lt; 1,(INDEX('Adj Data'!$G$2:$G$352,MATCH(C51,'Adj Data'!$A$2:$A$352,0))-INDEX('Adj Data'!$G$2:$G$352,MATCH(C52,'Adj Data'!$A$2:$A$352,0)))*'Adj Data'!$J$8 + 0.5,'Adj Data'!$J$9),"")</f>
        <v>0.99990000000000001</v>
      </c>
    </row>
    <row r="52" spans="1:4" x14ac:dyDescent="0.3">
      <c r="A52" s="55" t="str">
        <f>Bracket!$Q$86</f>
        <v>Midwest</v>
      </c>
      <c r="B52" s="55">
        <v>16</v>
      </c>
      <c r="C52" s="55" t="str">
        <f ca="1">Bracket!S63</f>
        <v>Hampton</v>
      </c>
      <c r="D52" s="60">
        <f ca="1">IFERROR(1-D51,"")</f>
        <v>9.9999999999988987E-5</v>
      </c>
    </row>
    <row r="53" spans="1:4" x14ac:dyDescent="0.3">
      <c r="A53" s="55" t="str">
        <f>Bracket!$Q$86</f>
        <v>Midwest</v>
      </c>
      <c r="B53" s="55">
        <v>8</v>
      </c>
      <c r="C53" s="55" t="str">
        <f ca="1">Bracket!S66</f>
        <v>Texas Tech</v>
      </c>
      <c r="D53" s="60">
        <f ca="1">IFERROR(IF((INDEX('Adj Data'!$G$2:$G$352,MATCH(C53,'Adj Data'!$A$2:$A$352,0))-INDEX('Adj Data'!$G$2:$G$352,MATCH(C54,'Adj Data'!$A$2:$A$352,0)))*'Adj Data'!$J$8 + 0.5 &lt; 1,(INDEX('Adj Data'!$G$2:$G$352,MATCH(C53,'Adj Data'!$A$2:$A$352,0))-INDEX('Adj Data'!$G$2:$G$352,MATCH(C54,'Adj Data'!$A$2:$A$352,0)))*'Adj Data'!$J$8 + 0.5,'Adj Data'!$J$9),"")</f>
        <v>0.44724166141999266</v>
      </c>
    </row>
    <row r="54" spans="1:4" x14ac:dyDescent="0.3">
      <c r="A54" s="55" t="str">
        <f>Bracket!$Q$86</f>
        <v>Midwest</v>
      </c>
      <c r="B54" s="55">
        <v>9</v>
      </c>
      <c r="C54" s="55" t="str">
        <f ca="1">Bracket!S70</f>
        <v>Butler</v>
      </c>
      <c r="D54" s="60">
        <f ca="1">IFERROR(1-D53,"")</f>
        <v>0.55275833858000734</v>
      </c>
    </row>
    <row r="55" spans="1:4" x14ac:dyDescent="0.3">
      <c r="A55" s="55" t="str">
        <f>Bracket!$Q$86</f>
        <v>Midwest</v>
      </c>
      <c r="B55" s="55">
        <v>5</v>
      </c>
      <c r="C55" s="55" t="str">
        <f ca="1">Bracket!S73</f>
        <v>Purdue</v>
      </c>
      <c r="D55" s="60">
        <f ca="1">IFERROR(IF((INDEX('Adj Data'!$G$2:$G$352,MATCH(C55,'Adj Data'!$A$2:$A$352,0))-INDEX('Adj Data'!$G$2:$G$352,MATCH(C56,'Adj Data'!$A$2:$A$352,0)))*'Adj Data'!$J$8 + 0.5 &lt; 1,(INDEX('Adj Data'!$G$2:$G$352,MATCH(C55,'Adj Data'!$A$2:$A$352,0))-INDEX('Adj Data'!$G$2:$G$352,MATCH(C56,'Adj Data'!$A$2:$A$352,0)))*'Adj Data'!$J$8 + 0.5,'Adj Data'!$J$9),"")</f>
        <v>0.64655829289990219</v>
      </c>
    </row>
    <row r="56" spans="1:4" x14ac:dyDescent="0.3">
      <c r="A56" s="55" t="str">
        <f>Bracket!$Q$86</f>
        <v>Midwest</v>
      </c>
      <c r="B56" s="55">
        <v>12</v>
      </c>
      <c r="C56" s="55" t="str">
        <f ca="1">Bracket!S77</f>
        <v>AR Little Rock</v>
      </c>
      <c r="D56" s="60">
        <f ca="1">IFERROR(1-D55,"")</f>
        <v>0.35344170710009781</v>
      </c>
    </row>
    <row r="57" spans="1:4" x14ac:dyDescent="0.3">
      <c r="A57" s="55" t="str">
        <f>Bracket!$Q$86</f>
        <v>Midwest</v>
      </c>
      <c r="B57" s="55">
        <v>4</v>
      </c>
      <c r="C57" s="55" t="str">
        <f ca="1">Bracket!S80</f>
        <v>Iowa State</v>
      </c>
      <c r="D57" s="60">
        <f ca="1">IFERROR(IF((INDEX('Adj Data'!$G$2:$G$352,MATCH(C57,'Adj Data'!$A$2:$A$352,0))-INDEX('Adj Data'!$G$2:$G$352,MATCH(C58,'Adj Data'!$A$2:$A$352,0)))*'Adj Data'!$J$8 + 0.5 &lt; 1,(INDEX('Adj Data'!$G$2:$G$352,MATCH(C57,'Adj Data'!$A$2:$A$352,0))-INDEX('Adj Data'!$G$2:$G$352,MATCH(C58,'Adj Data'!$A$2:$A$352,0)))*'Adj Data'!$J$8 + 0.5,'Adj Data'!$J$9),"")</f>
        <v>0.7657113238080191</v>
      </c>
    </row>
    <row r="58" spans="1:4" x14ac:dyDescent="0.3">
      <c r="A58" s="55" t="str">
        <f>Bracket!$Q$86</f>
        <v>Midwest</v>
      </c>
      <c r="B58" s="55">
        <v>13</v>
      </c>
      <c r="C58" s="55" t="str">
        <f ca="1">Bracket!S84</f>
        <v>Iona</v>
      </c>
      <c r="D58" s="60">
        <f ca="1">IFERROR(1-D57,"")</f>
        <v>0.2342886761919809</v>
      </c>
    </row>
    <row r="59" spans="1:4" x14ac:dyDescent="0.3">
      <c r="A59" s="55" t="str">
        <f>Bracket!$Q$86</f>
        <v>Midwest</v>
      </c>
      <c r="B59" s="55">
        <v>6</v>
      </c>
      <c r="C59" s="55" t="str">
        <f ca="1">Bracket!S87</f>
        <v>Seton Hall</v>
      </c>
      <c r="D59" s="60">
        <f ca="1">IFERROR(IF((INDEX('Adj Data'!$G$2:$G$352,MATCH(C59,'Adj Data'!$A$2:$A$352,0))-INDEX('Adj Data'!$G$2:$G$352,MATCH(C60,'Adj Data'!$A$2:$A$352,0)))*'Adj Data'!$J$8 + 0.5 &lt; 1,(INDEX('Adj Data'!$G$2:$G$352,MATCH(C59,'Adj Data'!$A$2:$A$352,0))-INDEX('Adj Data'!$G$2:$G$352,MATCH(C60,'Adj Data'!$A$2:$A$352,0)))*'Adj Data'!$J$8 + 0.5,'Adj Data'!$J$9),"")</f>
        <v>0.43113812132451973</v>
      </c>
    </row>
    <row r="60" spans="1:4" x14ac:dyDescent="0.3">
      <c r="A60" s="55" t="str">
        <f>Bracket!$Q$86</f>
        <v>Midwest</v>
      </c>
      <c r="B60" s="55">
        <v>11</v>
      </c>
      <c r="C60" s="55" t="str">
        <f ca="1">Bracket!S91</f>
        <v>Gonzaga</v>
      </c>
      <c r="D60" s="60">
        <f ca="1">IFERROR(1-D59,"")</f>
        <v>0.56886187867548021</v>
      </c>
    </row>
    <row r="61" spans="1:4" x14ac:dyDescent="0.3">
      <c r="A61" s="55" t="str">
        <f>Bracket!$Q$86</f>
        <v>Midwest</v>
      </c>
      <c r="B61" s="55">
        <v>3</v>
      </c>
      <c r="C61" s="55" t="str">
        <f ca="1">Bracket!S94</f>
        <v>Utah</v>
      </c>
      <c r="D61" s="60">
        <f ca="1">IFERROR(IF((INDEX('Adj Data'!$G$2:$G$352,MATCH(C61,'Adj Data'!$A$2:$A$352,0))-INDEX('Adj Data'!$G$2:$G$352,MATCH(C62,'Adj Data'!$A$2:$A$352,0)))*'Adj Data'!$J$8 + 0.5 &lt; 1,(INDEX('Adj Data'!$G$2:$G$352,MATCH(C61,'Adj Data'!$A$2:$A$352,0))-INDEX('Adj Data'!$G$2:$G$352,MATCH(C62,'Adj Data'!$A$2:$A$352,0)))*'Adj Data'!$J$8 + 0.5,'Adj Data'!$J$9),"")</f>
        <v>0.73794469152331932</v>
      </c>
    </row>
    <row r="62" spans="1:4" x14ac:dyDescent="0.3">
      <c r="A62" s="55" t="str">
        <f>Bracket!$Q$86</f>
        <v>Midwest</v>
      </c>
      <c r="B62" s="55">
        <v>14</v>
      </c>
      <c r="C62" s="55" t="str">
        <f ca="1">Bracket!S98</f>
        <v>Fresno State</v>
      </c>
      <c r="D62" s="60">
        <f ca="1">IFERROR(1-D61,"")</f>
        <v>0.26205530847668068</v>
      </c>
    </row>
    <row r="63" spans="1:4" x14ac:dyDescent="0.3">
      <c r="A63" s="55" t="str">
        <f>Bracket!$Q$86</f>
        <v>Midwest</v>
      </c>
      <c r="B63" s="55">
        <v>7</v>
      </c>
      <c r="C63" s="55" t="str">
        <f ca="1">Bracket!S101</f>
        <v>Dayton</v>
      </c>
      <c r="D63" s="60">
        <f ca="1">IFERROR(IF((INDEX('Adj Data'!$G$2:$G$352,MATCH(C63,'Adj Data'!$A$2:$A$352,0))-INDEX('Adj Data'!$G$2:$G$352,MATCH(C64,'Adj Data'!$A$2:$A$352,0)))*'Adj Data'!$J$8 + 0.5 &lt; 1,(INDEX('Adj Data'!$G$2:$G$352,MATCH(C63,'Adj Data'!$A$2:$A$352,0))-INDEX('Adj Data'!$G$2:$G$352,MATCH(C64,'Adj Data'!$A$2:$A$352,0)))*'Adj Data'!$J$8 + 0.5,'Adj Data'!$J$9),"")</f>
        <v>0.45049479793337588</v>
      </c>
    </row>
    <row r="64" spans="1:4" x14ac:dyDescent="0.3">
      <c r="A64" s="55" t="str">
        <f>Bracket!$Q$86</f>
        <v>Midwest</v>
      </c>
      <c r="B64" s="55">
        <v>10</v>
      </c>
      <c r="C64" s="55" t="str">
        <f ca="1">Bracket!S105</f>
        <v>Syracuse</v>
      </c>
      <c r="D64" s="60">
        <f ca="1">IFERROR(1-D63,"")</f>
        <v>0.54950520206662412</v>
      </c>
    </row>
    <row r="65" spans="1:4" x14ac:dyDescent="0.3">
      <c r="A65" s="55" t="str">
        <f>Bracket!$Q$86</f>
        <v>Midwest</v>
      </c>
      <c r="B65" s="55">
        <v>2</v>
      </c>
      <c r="C65" s="55" t="str">
        <f ca="1">Bracket!S108</f>
        <v>Michigan State</v>
      </c>
      <c r="D65" s="60">
        <f ca="1">IFERROR(IF((INDEX('Adj Data'!$G$2:$G$352,MATCH(C65,'Adj Data'!$A$2:$A$352,0))-INDEX('Adj Data'!$G$2:$G$352,MATCH(C66,'Adj Data'!$A$2:$A$352,0)))*'Adj Data'!$J$8 + 0.5 &lt; 1,(INDEX('Adj Data'!$G$2:$G$352,MATCH(C65,'Adj Data'!$A$2:$A$352,0))-INDEX('Adj Data'!$G$2:$G$352,MATCH(C66,'Adj Data'!$A$2:$A$352,0)))*'Adj Data'!$J$8 + 0.5,'Adj Data'!$J$9),"")</f>
        <v>0.89664269533251018</v>
      </c>
    </row>
    <row r="66" spans="1:4" x14ac:dyDescent="0.3">
      <c r="A66" s="55" t="str">
        <f>Bracket!$Q$86</f>
        <v>Midwest</v>
      </c>
      <c r="B66" s="55">
        <v>15</v>
      </c>
      <c r="C66" s="55" t="str">
        <f ca="1">Bracket!S112</f>
        <v>Middle Tennessee</v>
      </c>
      <c r="D66" s="60">
        <f ca="1">IFERROR(1-D65,"")</f>
        <v>0.10335730466748982</v>
      </c>
    </row>
    <row r="67" spans="1:4" x14ac:dyDescent="0.3">
      <c r="A67" s="55" t="s">
        <v>36</v>
      </c>
      <c r="B67" s="55">
        <v>16</v>
      </c>
      <c r="C67" s="55" t="str">
        <f>Bracket!E3</f>
        <v>Florida Gulf Coast</v>
      </c>
      <c r="D67" s="60">
        <f ca="1">IFERROR(IF((INDEX('Adj Data'!$G$2:$G$352,MATCH(C67,'Adj Data'!$A$2:$A$352,0))-INDEX('Adj Data'!$G$2:$G$352,MATCH(C68,'Adj Data'!$A$2:$A$352,0)))*'Adj Data'!$J$8 + 0.5 &lt; 1,(INDEX('Adj Data'!$G$2:$G$352,MATCH(C67,'Adj Data'!$A$2:$A$352,0))-INDEX('Adj Data'!$G$2:$G$352,MATCH(C68,'Adj Data'!$A$2:$A$352,0)))*'Adj Data'!$J$8 + 0.5,'Adj Data'!$J$9),"")</f>
        <v>0.7011232450318543</v>
      </c>
    </row>
    <row r="68" spans="1:4" x14ac:dyDescent="0.3">
      <c r="A68" s="55" t="s">
        <v>36</v>
      </c>
      <c r="B68" s="55">
        <v>16</v>
      </c>
      <c r="C68" s="55" t="str">
        <f>Bracket!E7</f>
        <v>Fairleigh Dickinson</v>
      </c>
      <c r="D68" s="60">
        <f ca="1">IFERROR(1-D67,"")</f>
        <v>0.2988767549681457</v>
      </c>
    </row>
    <row r="69" spans="1:4" x14ac:dyDescent="0.3">
      <c r="A69" s="55" t="s">
        <v>10</v>
      </c>
      <c r="B69" s="55">
        <v>16</v>
      </c>
      <c r="C69" s="55" t="str">
        <f>Bracket!H3</f>
        <v>Southern</v>
      </c>
      <c r="D69" s="60">
        <f ca="1">IFERROR(IF((INDEX('Adj Data'!$G$2:$G$352,MATCH(C69,'Adj Data'!$A$2:$A$352,0))-INDEX('Adj Data'!$G$2:$G$352,MATCH(C70,'Adj Data'!$A$2:$A$352,0)))*'Adj Data'!$J$8 + 0.5 &lt; 1,(INDEX('Adj Data'!$G$2:$G$352,MATCH(C69,'Adj Data'!$A$2:$A$352,0))-INDEX('Adj Data'!$G$2:$G$352,MATCH(C70,'Adj Data'!$A$2:$A$352,0)))*'Adj Data'!$J$8 + 0.5,'Adj Data'!$J$9),"")</f>
        <v>0.59601630728678512</v>
      </c>
    </row>
    <row r="70" spans="1:4" x14ac:dyDescent="0.3">
      <c r="A70" s="55" t="s">
        <v>10</v>
      </c>
      <c r="B70" s="55">
        <v>16</v>
      </c>
      <c r="C70" s="55" t="str">
        <f>Bracket!H7</f>
        <v>Holy Cross</v>
      </c>
      <c r="D70" s="60">
        <f ca="1">IFERROR(1-D69,"")</f>
        <v>0.40398369271321488</v>
      </c>
    </row>
    <row r="71" spans="1:4" x14ac:dyDescent="0.3">
      <c r="A71" s="55" t="s">
        <v>35</v>
      </c>
      <c r="B71" s="55">
        <v>11</v>
      </c>
      <c r="C71" s="55" t="str">
        <f>Bracket!K3</f>
        <v>Michigan</v>
      </c>
      <c r="D71" s="60">
        <f ca="1">IFERROR(IF((INDEX('Adj Data'!$G$2:$G$352,MATCH(C71,'Adj Data'!$A$2:$A$352,0))-INDEX('Adj Data'!$G$2:$G$352,MATCH(C72,'Adj Data'!$A$2:$A$352,0)))*'Adj Data'!$J$8 + 0.5 &lt; 1,(INDEX('Adj Data'!$G$2:$G$352,MATCH(C71,'Adj Data'!$A$2:$A$352,0))-INDEX('Adj Data'!$G$2:$G$352,MATCH(C72,'Adj Data'!$A$2:$A$352,0)))*'Adj Data'!$J$8 + 0.5,'Adj Data'!$J$9),"")</f>
        <v>0.54260893297791368</v>
      </c>
    </row>
    <row r="72" spans="1:4" x14ac:dyDescent="0.3">
      <c r="A72" s="55" t="s">
        <v>35</v>
      </c>
      <c r="B72" s="55">
        <v>11</v>
      </c>
      <c r="C72" s="55" t="str">
        <f>Bracket!K7</f>
        <v>Tulsa</v>
      </c>
      <c r="D72" s="60">
        <f ca="1">IFERROR(1-D71,"")</f>
        <v>0.45739106702208632</v>
      </c>
    </row>
    <row r="73" spans="1:4" x14ac:dyDescent="0.3">
      <c r="A73" s="55" t="s">
        <v>10</v>
      </c>
      <c r="B73" s="55">
        <v>12</v>
      </c>
      <c r="C73" s="55" t="str">
        <f>Bracket!N3</f>
        <v>Vanderbilt</v>
      </c>
      <c r="D73" s="60">
        <f ca="1">IFERROR(IF((INDEX('Adj Data'!$G$2:$G$352,MATCH(C73,'Adj Data'!$A$2:$A$352,0))-INDEX('Adj Data'!$G$2:$G$352,MATCH(C74,'Adj Data'!$A$2:$A$352,0)))*'Adj Data'!$J$8 + 0.5 &lt; 1,(INDEX('Adj Data'!$G$2:$G$352,MATCH(C73,'Adj Data'!$A$2:$A$352,0))-INDEX('Adj Data'!$G$2:$G$352,MATCH(C74,'Adj Data'!$A$2:$A$352,0)))*'Adj Data'!$J$8 + 0.5,'Adj Data'!$J$9),"")</f>
        <v>0.43088254351803706</v>
      </c>
    </row>
    <row r="74" spans="1:4" x14ac:dyDescent="0.3">
      <c r="A74" s="55" t="s">
        <v>10</v>
      </c>
      <c r="B74" s="55">
        <v>12</v>
      </c>
      <c r="C74" s="55" t="str">
        <f>Bracket!N7</f>
        <v>Wichita St</v>
      </c>
      <c r="D74" s="60">
        <f ca="1">IFERROR(1-D73,"")</f>
        <v>0.56911745648196299</v>
      </c>
    </row>
    <row r="75" spans="1:4" x14ac:dyDescent="0.3">
      <c r="D75" s="56"/>
    </row>
    <row r="78" spans="1:4" x14ac:dyDescent="0.3">
      <c r="D78" s="56"/>
    </row>
    <row r="79" spans="1:4" x14ac:dyDescent="0.3">
      <c r="D79" s="56"/>
    </row>
    <row r="80" spans="1:4" x14ac:dyDescent="0.3">
      <c r="D80" s="56"/>
    </row>
    <row r="81" spans="4:4" x14ac:dyDescent="0.3">
      <c r="D81" s="56"/>
    </row>
    <row r="82" spans="4:4" x14ac:dyDescent="0.3">
      <c r="D82" s="56"/>
    </row>
    <row r="83" spans="4:4" x14ac:dyDescent="0.3">
      <c r="D83" s="56"/>
    </row>
    <row r="84" spans="4:4" x14ac:dyDescent="0.3">
      <c r="D84" s="56"/>
    </row>
    <row r="85" spans="4:4" x14ac:dyDescent="0.3">
      <c r="D85" s="56"/>
    </row>
    <row r="86" spans="4:4" x14ac:dyDescent="0.3">
      <c r="D86" s="56"/>
    </row>
    <row r="87" spans="4:4" x14ac:dyDescent="0.3">
      <c r="D87" s="56"/>
    </row>
    <row r="88" spans="4:4" x14ac:dyDescent="0.3">
      <c r="D88" s="56"/>
    </row>
    <row r="89" spans="4:4" x14ac:dyDescent="0.3">
      <c r="D89" s="56"/>
    </row>
    <row r="90" spans="4:4" x14ac:dyDescent="0.3">
      <c r="D90" s="56"/>
    </row>
    <row r="91" spans="4:4" x14ac:dyDescent="0.3">
      <c r="D91" s="56"/>
    </row>
    <row r="92" spans="4:4" x14ac:dyDescent="0.3">
      <c r="D92" s="56"/>
    </row>
    <row r="93" spans="4:4" x14ac:dyDescent="0.3">
      <c r="D93" s="56"/>
    </row>
    <row r="94" spans="4:4" x14ac:dyDescent="0.3">
      <c r="D94" s="56"/>
    </row>
    <row r="95" spans="4:4" x14ac:dyDescent="0.3">
      <c r="D95" s="56"/>
    </row>
    <row r="96" spans="4:4" x14ac:dyDescent="0.3">
      <c r="D96" s="56"/>
    </row>
    <row r="97" spans="4:4" x14ac:dyDescent="0.3">
      <c r="D97" s="56"/>
    </row>
    <row r="98" spans="4:4" x14ac:dyDescent="0.3">
      <c r="D98" s="56"/>
    </row>
  </sheetData>
  <mergeCells count="6">
    <mergeCell ref="U1:X1"/>
    <mergeCell ref="A1:D1"/>
    <mergeCell ref="E1:H1"/>
    <mergeCell ref="I1:L1"/>
    <mergeCell ref="M1:P1"/>
    <mergeCell ref="Q1:T1"/>
  </mergeCell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73"/>
  <sheetViews>
    <sheetView topLeftCell="A91" workbookViewId="0">
      <selection activeCell="D45" sqref="D45"/>
    </sheetView>
  </sheetViews>
  <sheetFormatPr defaultRowHeight="15.6" x14ac:dyDescent="0.3"/>
  <cols>
    <col min="3" max="3" width="19.9140625" bestFit="1" customWidth="1"/>
    <col min="4" max="4" width="11.83203125" style="71" customWidth="1"/>
  </cols>
  <sheetData>
    <row r="1" spans="1:4" x14ac:dyDescent="0.3">
      <c r="A1" t="s">
        <v>329</v>
      </c>
      <c r="B1" t="s">
        <v>386</v>
      </c>
      <c r="C1" t="s">
        <v>387</v>
      </c>
      <c r="D1" s="71" t="s">
        <v>388</v>
      </c>
    </row>
    <row r="2" spans="1:4" x14ac:dyDescent="0.3">
      <c r="A2">
        <v>1</v>
      </c>
      <c r="B2" t="str">
        <f>Bracket!$C$30</f>
        <v>South</v>
      </c>
      <c r="C2" t="str">
        <f t="array" ref="C2">IF(B2&lt;&gt;"",INDEX('Raw Data'!$A$2:$A$352,SMALL(IF('Raw Data'!$G$2:$G$352=A2,ROW('Raw Data'!$G$2:$G$352)-1,FALSE),1)),"")</f>
        <v>Virginia</v>
      </c>
      <c r="D2" s="71" t="s">
        <v>22</v>
      </c>
    </row>
    <row r="3" spans="1:4" x14ac:dyDescent="0.3">
      <c r="A3">
        <v>2</v>
      </c>
      <c r="B3" t="str">
        <f>Bracket!$C$30</f>
        <v>South</v>
      </c>
      <c r="C3" t="str">
        <f t="array" ref="C3">IF(B3&lt;&gt;"",INDEX('Raw Data'!$A$2:$A$352,SMALL(IF('Raw Data'!$G$2:$G$352=A3,ROW('Raw Data'!$G$2:$G$352)-1,FALSE),1)),"")</f>
        <v>Michigan State</v>
      </c>
      <c r="D3" s="71" t="s">
        <v>45</v>
      </c>
    </row>
    <row r="4" spans="1:4" x14ac:dyDescent="0.3">
      <c r="A4">
        <v>3</v>
      </c>
      <c r="B4" t="str">
        <f>Bracket!$C$30</f>
        <v>South</v>
      </c>
      <c r="C4" t="str">
        <f t="array" ref="C4">IF(B4&lt;&gt;"",INDEX('Raw Data'!$A$2:$A$352,SMALL(IF('Raw Data'!$G$2:$G$352=A4,ROW('Raw Data'!$G$2:$G$352)-1,FALSE),1)),"")</f>
        <v>West Virginia</v>
      </c>
      <c r="D4" s="71" t="s">
        <v>330</v>
      </c>
    </row>
    <row r="5" spans="1:4" x14ac:dyDescent="0.3">
      <c r="A5">
        <v>4</v>
      </c>
      <c r="B5" t="str">
        <f>Bracket!$C$30</f>
        <v>South</v>
      </c>
      <c r="C5" t="str">
        <f t="array" ref="C5">IF(B5&lt;&gt;"",INDEX('Raw Data'!$A$2:$A$352,SMALL(IF('Raw Data'!$G$2:$G$352=A5,ROW('Raw Data'!$G$2:$G$352)-1,FALSE),1)),"")</f>
        <v>Kentucky</v>
      </c>
      <c r="D5" s="71" t="s">
        <v>304</v>
      </c>
    </row>
    <row r="6" spans="1:4" x14ac:dyDescent="0.3">
      <c r="A6">
        <v>5</v>
      </c>
      <c r="B6" t="str">
        <f>Bracket!$C$30</f>
        <v>South</v>
      </c>
      <c r="C6" t="str">
        <f t="array" ref="C6">IF(B6&lt;&gt;"",INDEX('Raw Data'!$A$2:$A$352,SMALL(IF('Raw Data'!$G$2:$G$352=A6,ROW('Raw Data'!$G$2:$G$352)-1,FALSE),1)),"")</f>
        <v>Indiana</v>
      </c>
      <c r="D6" s="71" t="s">
        <v>61</v>
      </c>
    </row>
    <row r="7" spans="1:4" x14ac:dyDescent="0.3">
      <c r="A7">
        <v>6</v>
      </c>
      <c r="B7" t="str">
        <f>Bracket!$C$30</f>
        <v>South</v>
      </c>
      <c r="C7" t="str">
        <f t="array" ref="C7">IF(B7&lt;&gt;"",INDEX('Raw Data'!$A$2:$A$352,SMALL(IF('Raw Data'!$G$2:$G$352=A7,ROW('Raw Data'!$G$2:$G$352)-1,FALSE),1)),"")</f>
        <v>Arizona</v>
      </c>
      <c r="D7" s="71" t="s">
        <v>1</v>
      </c>
    </row>
    <row r="8" spans="1:4" x14ac:dyDescent="0.3">
      <c r="A8">
        <v>7</v>
      </c>
      <c r="B8" t="str">
        <f>Bracket!$C$30</f>
        <v>South</v>
      </c>
      <c r="C8" t="str">
        <f t="array" ref="C8">IF(B8&lt;&gt;"",INDEX('Raw Data'!$A$2:$A$352,SMALL(IF('Raw Data'!$G$2:$G$352=A8,ROW('Raw Data'!$G$2:$G$352)-1,FALSE),1)),"")</f>
        <v>Iowa</v>
      </c>
      <c r="D8" s="71" t="s">
        <v>57</v>
      </c>
    </row>
    <row r="9" spans="1:4" x14ac:dyDescent="0.3">
      <c r="A9">
        <v>8</v>
      </c>
      <c r="B9" t="str">
        <f>Bracket!$C$30</f>
        <v>South</v>
      </c>
      <c r="C9" t="str">
        <f t="array" ref="C9">IF(B9&lt;&gt;"",INDEX('Raw Data'!$A$2:$A$352,SMALL(IF('Raw Data'!$G$2:$G$352=A9,ROW('Raw Data'!$G$2:$G$352)-1,FALSE),1)),"")</f>
        <v>Saint Joseph's</v>
      </c>
      <c r="D9" s="71" t="s">
        <v>3</v>
      </c>
    </row>
    <row r="10" spans="1:4" x14ac:dyDescent="0.3">
      <c r="A10">
        <v>9</v>
      </c>
      <c r="B10" t="str">
        <f>Bracket!$C$30</f>
        <v>South</v>
      </c>
      <c r="C10" t="str">
        <f t="array" ref="C10">IF(B10&lt;&gt;"",INDEX('Raw Data'!$A$2:$A$352,SMALL(IF('Raw Data'!$G$2:$G$352=A10,ROW('Raw Data'!$G$2:$G$352)-1,FALSE),1)),"")</f>
        <v>UConn</v>
      </c>
      <c r="D10" s="71" t="s">
        <v>24</v>
      </c>
    </row>
    <row r="11" spans="1:4" x14ac:dyDescent="0.3">
      <c r="A11">
        <v>10</v>
      </c>
      <c r="B11" t="str">
        <f>Bracket!$C$30</f>
        <v>South</v>
      </c>
      <c r="C11" t="str">
        <f t="array" ref="C11">IF(B11&lt;&gt;"",INDEX('Raw Data'!$A$2:$A$352,SMALL(IF('Raw Data'!$G$2:$G$352=A11,ROW('Raw Data'!$G$2:$G$352)-1,FALSE),1)),"")</f>
        <v>VCU</v>
      </c>
      <c r="D11" s="71" t="s">
        <v>74</v>
      </c>
    </row>
    <row r="12" spans="1:4" x14ac:dyDescent="0.3">
      <c r="A12">
        <v>11</v>
      </c>
      <c r="C12" t="str">
        <f t="array" ref="C12">IF(B12&lt;&gt;"",INDEX('Raw Data'!$A$2:$A$352,SMALL(IF('Raw Data'!$G$2:$G$352=A12,ROW('Raw Data'!$G$2:$G$352)-1,FALSE),1)),"")</f>
        <v/>
      </c>
    </row>
    <row r="13" spans="1:4" x14ac:dyDescent="0.3">
      <c r="A13">
        <v>12</v>
      </c>
      <c r="B13" t="str">
        <f>Bracket!$C$30</f>
        <v>South</v>
      </c>
      <c r="C13" t="str">
        <f t="array" ref="C13">IF(B13&lt;&gt;"",INDEX('Raw Data'!$A$2:$A$352,SMALL(IF('Raw Data'!$G$2:$G$352=A13,ROW('Raw Data'!$G$2:$G$352)-1,FALSE),1)),"")</f>
        <v>AR Little Rock</v>
      </c>
      <c r="D13" s="71" t="s">
        <v>248</v>
      </c>
    </row>
    <row r="14" spans="1:4" x14ac:dyDescent="0.3">
      <c r="A14">
        <v>13</v>
      </c>
      <c r="B14" t="str">
        <f>Bracket!$C$30</f>
        <v>South</v>
      </c>
      <c r="C14" t="str">
        <f t="array" ref="C14">IF(B14&lt;&gt;"",INDEX('Raw Data'!$A$2:$A$352,SMALL(IF('Raw Data'!$G$2:$G$352=A14,ROW('Raw Data'!$G$2:$G$352)-1,FALSE),1)),"")</f>
        <v>Hawaii</v>
      </c>
      <c r="D14" s="71" t="s">
        <v>113</v>
      </c>
    </row>
    <row r="15" spans="1:4" x14ac:dyDescent="0.3">
      <c r="A15">
        <v>14</v>
      </c>
      <c r="B15" t="str">
        <f>Bracket!$C$30</f>
        <v>South</v>
      </c>
      <c r="C15" t="str">
        <f t="array" ref="C15">IF(B15&lt;&gt;"",INDEX('Raw Data'!$A$2:$A$352,SMALL(IF('Raw Data'!$G$2:$G$352=A15,ROW('Raw Data'!$G$2:$G$352)-1,FALSE),1)),"")</f>
        <v>SF Austin</v>
      </c>
      <c r="D15" s="71" t="s">
        <v>71</v>
      </c>
    </row>
    <row r="16" spans="1:4" x14ac:dyDescent="0.3">
      <c r="A16">
        <v>15</v>
      </c>
      <c r="B16" t="str">
        <f>Bracket!$C$30</f>
        <v>South</v>
      </c>
      <c r="C16" t="str">
        <f t="array" ref="C16">IF(B16&lt;&gt;"",INDEX('Raw Data'!$A$2:$A$352,SMALL(IF('Raw Data'!$G$2:$G$352=A16,ROW('Raw Data'!$G$2:$G$352)-1,FALSE),1)),"")</f>
        <v>CSU Bakersfield</v>
      </c>
      <c r="D16" s="71" t="s">
        <v>167</v>
      </c>
    </row>
    <row r="17" spans="1:4" x14ac:dyDescent="0.3">
      <c r="A17">
        <v>16</v>
      </c>
      <c r="B17" t="s">
        <v>10</v>
      </c>
      <c r="C17" t="str">
        <f t="array" ref="C17">IF(B17&lt;&gt;"",INDEX('Raw Data'!$A$2:$A$352,SMALL(IF('Raw Data'!$G$2:$G$352=A17,ROW('Raw Data'!$G$2:$G$352)-1,FALSE),1)),"")</f>
        <v>Florida Gulf Coast</v>
      </c>
      <c r="D17" s="71" t="s">
        <v>215</v>
      </c>
    </row>
    <row r="18" spans="1:4" x14ac:dyDescent="0.3">
      <c r="A18">
        <v>1</v>
      </c>
      <c r="B18" t="str">
        <f>Bracket!$Q$30</f>
        <v>East</v>
      </c>
      <c r="C18" t="str">
        <f t="array" ref="C18">IF(B18&lt;&gt;"",INDEX('Raw Data'!$A$2:$A$352,SMALL(IF('Raw Data'!$G$2:$G$352=A18,ROW('Raw Data'!$G$2:$G$352)-1,FALSE),2)),"")</f>
        <v>Kansas</v>
      </c>
      <c r="D18" s="71" t="s">
        <v>50</v>
      </c>
    </row>
    <row r="19" spans="1:4" x14ac:dyDescent="0.3">
      <c r="A19">
        <v>2</v>
      </c>
      <c r="B19" t="str">
        <f>Bracket!$Q$30</f>
        <v>East</v>
      </c>
      <c r="C19" t="str">
        <f t="array" ref="C19">IF(B19&lt;&gt;"",INDEX('Raw Data'!$A$2:$A$352,SMALL(IF('Raw Data'!$G$2:$G$352=A19,ROW('Raw Data'!$G$2:$G$352)-1,FALSE),2)),"")</f>
        <v>Villanova</v>
      </c>
      <c r="D19" s="71" t="s">
        <v>55</v>
      </c>
    </row>
    <row r="20" spans="1:4" x14ac:dyDescent="0.3">
      <c r="A20">
        <v>3</v>
      </c>
      <c r="B20" t="str">
        <f>Bracket!$Q$30</f>
        <v>East</v>
      </c>
      <c r="C20" t="str">
        <f t="array" ref="C20">IF(B20&lt;&gt;"",INDEX('Raw Data'!$A$2:$A$352,SMALL(IF('Raw Data'!$G$2:$G$352=A20,ROW('Raw Data'!$G$2:$G$352)-1,FALSE),2)),"")</f>
        <v>Miami</v>
      </c>
      <c r="D20" s="71" t="s">
        <v>54</v>
      </c>
    </row>
    <row r="21" spans="1:4" x14ac:dyDescent="0.3">
      <c r="A21">
        <v>4</v>
      </c>
      <c r="B21" t="str">
        <f>Bracket!$Q$30</f>
        <v>East</v>
      </c>
      <c r="C21" t="str">
        <f t="array" ref="C21">IF(B21&lt;&gt;"",INDEX('Raw Data'!$A$2:$A$352,SMALL(IF('Raw Data'!$G$2:$G$352=A21,ROW('Raw Data'!$G$2:$G$352)-1,FALSE),2)),"")</f>
        <v>Duke</v>
      </c>
      <c r="D21" s="71" t="s">
        <v>25</v>
      </c>
    </row>
    <row r="22" spans="1:4" x14ac:dyDescent="0.3">
      <c r="A22">
        <v>5</v>
      </c>
      <c r="B22" t="str">
        <f>Bracket!$Q$30</f>
        <v>East</v>
      </c>
      <c r="C22" t="str">
        <f t="array" ref="C22">IF(B22&lt;&gt;"",INDEX('Raw Data'!$A$2:$A$352,SMALL(IF('Raw Data'!$G$2:$G$352=A22,ROW('Raw Data'!$G$2:$G$352)-1,FALSE),2)),"")</f>
        <v>Purdue</v>
      </c>
      <c r="D22" s="71" t="s">
        <v>65</v>
      </c>
    </row>
    <row r="23" spans="1:4" x14ac:dyDescent="0.3">
      <c r="A23">
        <v>6</v>
      </c>
      <c r="B23" t="str">
        <f>Bracket!$Q$30</f>
        <v>East</v>
      </c>
      <c r="C23" t="str">
        <f t="array" ref="C23">IF(B23&lt;&gt;"",INDEX('Raw Data'!$A$2:$A$352,SMALL(IF('Raw Data'!$G$2:$G$352=A23,ROW('Raw Data'!$G$2:$G$352)-1,FALSE),2)),"")</f>
        <v>Texas</v>
      </c>
      <c r="D23" s="71" t="s">
        <v>51</v>
      </c>
    </row>
    <row r="24" spans="1:4" x14ac:dyDescent="0.3">
      <c r="A24">
        <v>7</v>
      </c>
      <c r="B24" t="str">
        <f>Bracket!$Q$30</f>
        <v>East</v>
      </c>
      <c r="C24" t="str">
        <f t="array" ref="C24">IF(B24&lt;&gt;"",INDEX('Raw Data'!$A$2:$A$352,SMALL(IF('Raw Data'!$G$2:$G$352=A24,ROW('Raw Data'!$G$2:$G$352)-1,FALSE),2)),"")</f>
        <v>Wisconsin</v>
      </c>
      <c r="D24" s="71" t="s">
        <v>11</v>
      </c>
    </row>
    <row r="25" spans="1:4" x14ac:dyDescent="0.3">
      <c r="A25">
        <v>8</v>
      </c>
      <c r="B25" t="str">
        <f>Bracket!$Q$30</f>
        <v>East</v>
      </c>
      <c r="C25" t="str">
        <f t="array" ref="C25">IF(B25&lt;&gt;"",INDEX('Raw Data'!$A$2:$A$352,SMALL(IF('Raw Data'!$G$2:$G$352=A25,ROW('Raw Data'!$G$2:$G$352)-1,FALSE),2)),"")</f>
        <v>Texas Tech</v>
      </c>
      <c r="D25" s="71" t="s">
        <v>125</v>
      </c>
    </row>
    <row r="26" spans="1:4" x14ac:dyDescent="0.3">
      <c r="A26">
        <v>9</v>
      </c>
      <c r="B26" t="str">
        <f>Bracket!$Q$30</f>
        <v>East</v>
      </c>
      <c r="C26" t="str">
        <f t="array" ref="C26">IF(B26&lt;&gt;"",INDEX('Raw Data'!$A$2:$A$352,SMALL(IF('Raw Data'!$G$2:$G$352=A26,ROW('Raw Data'!$G$2:$G$352)-1,FALSE),2)),"")</f>
        <v>Cincinnati</v>
      </c>
      <c r="D26" s="71" t="s">
        <v>39</v>
      </c>
    </row>
    <row r="27" spans="1:4" x14ac:dyDescent="0.3">
      <c r="A27">
        <v>10</v>
      </c>
      <c r="B27" t="str">
        <f>Bracket!$Q$30</f>
        <v>East</v>
      </c>
      <c r="C27" t="str">
        <f t="array" ref="C27">IF(B27&lt;&gt;"",INDEX('Raw Data'!$A$2:$A$352,SMALL(IF('Raw Data'!$G$2:$G$352=A27,ROW('Raw Data'!$G$2:$G$352)-1,FALSE),2)),"")</f>
        <v>Syracuse</v>
      </c>
      <c r="D27" s="71" t="s">
        <v>305</v>
      </c>
    </row>
    <row r="28" spans="1:4" x14ac:dyDescent="0.3">
      <c r="A28">
        <v>11</v>
      </c>
      <c r="C28" t="str">
        <f t="array" ref="C28">IF(B28&lt;&gt;"",INDEX('Raw Data'!$A$2:$A$352,SMALL(IF('Raw Data'!$G$2:$G$352=A28,ROW('Raw Data'!$G$2:$G$352)-1,FALSE),1)),"")</f>
        <v/>
      </c>
    </row>
    <row r="29" spans="1:4" x14ac:dyDescent="0.3">
      <c r="A29">
        <v>12</v>
      </c>
      <c r="B29" t="str">
        <f>Bracket!$Q$30</f>
        <v>East</v>
      </c>
      <c r="C29" t="str">
        <f t="array" ref="C29">IF(B29&lt;&gt;"",INDEX('Raw Data'!$A$2:$A$352,SMALL(IF('Raw Data'!$G$2:$G$352=A29,ROW('Raw Data'!$G$2:$G$352)-1,FALSE),2)),"")</f>
        <v>Yale</v>
      </c>
      <c r="D29" s="71" t="s">
        <v>121</v>
      </c>
    </row>
    <row r="30" spans="1:4" x14ac:dyDescent="0.3">
      <c r="A30">
        <v>13</v>
      </c>
      <c r="B30" t="str">
        <f>Bracket!$Q$30</f>
        <v>East</v>
      </c>
      <c r="C30" t="str">
        <f t="array" ref="C30">IF(B30&lt;&gt;"",INDEX('Raw Data'!$A$2:$A$352,SMALL(IF('Raw Data'!$G$2:$G$352=A30,ROW('Raw Data'!$G$2:$G$352)-1,FALSE),2)),"")</f>
        <v>Stony Brook</v>
      </c>
      <c r="D30" s="71" t="s">
        <v>117</v>
      </c>
    </row>
    <row r="31" spans="1:4" x14ac:dyDescent="0.3">
      <c r="A31">
        <v>14</v>
      </c>
      <c r="B31" t="str">
        <f>Bracket!$Q$30</f>
        <v>East</v>
      </c>
      <c r="C31" t="str">
        <f t="array" ref="C31">IF(B31&lt;&gt;"",INDEX('Raw Data'!$A$2:$A$352,SMALL(IF('Raw Data'!$G$2:$G$352=A31,ROW('Raw Data'!$G$2:$G$352)-1,FALSE),2)),"")</f>
        <v>Fresno State</v>
      </c>
      <c r="D31" s="71" t="s">
        <v>7</v>
      </c>
    </row>
    <row r="32" spans="1:4" ht="16.2" customHeight="1" x14ac:dyDescent="0.3">
      <c r="A32">
        <v>15</v>
      </c>
      <c r="B32" t="str">
        <f>Bracket!$Q$30</f>
        <v>East</v>
      </c>
      <c r="C32" t="str">
        <f t="array" ref="C32">IF(B32&lt;&gt;"",INDEX('Raw Data'!$A$2:$A$352,SMALL(IF('Raw Data'!$G$2:$G$352=A32,ROW('Raw Data'!$G$2:$G$352)-1,FALSE),2)),"")</f>
        <v>Weber State</v>
      </c>
      <c r="D32" s="71" t="s">
        <v>274</v>
      </c>
    </row>
    <row r="33" spans="1:4" ht="16.2" customHeight="1" x14ac:dyDescent="0.3">
      <c r="A33">
        <v>16</v>
      </c>
      <c r="C33" t="str">
        <f t="array" ref="C33">IF(B33&lt;&gt;"",INDEX('Raw Data'!$A$2:$A$352,SMALL(IF('Raw Data'!$G$2:$G$352=A33,ROW('Raw Data'!$G$2:$G$352)-1,FALSE),2)),"")</f>
        <v/>
      </c>
    </row>
    <row r="34" spans="1:4" x14ac:dyDescent="0.3">
      <c r="A34">
        <v>1</v>
      </c>
      <c r="B34" t="str">
        <f>Bracket!$Q$86</f>
        <v>Midwest</v>
      </c>
      <c r="C34" t="str">
        <f t="array" ref="C34">IF(B34&lt;&gt;"",INDEX('Raw Data'!$A$2:$A$352,SMALL(IF('Raw Data'!$G$2:$G$352=A34,ROW('Raw Data'!$G$2:$G$352)-1,FALSE),3)),"")</f>
        <v>North Carolina</v>
      </c>
      <c r="D34" s="71" t="s">
        <v>26</v>
      </c>
    </row>
    <row r="35" spans="1:4" x14ac:dyDescent="0.3">
      <c r="A35">
        <v>2</v>
      </c>
      <c r="B35" t="str">
        <f>Bracket!$Q$86</f>
        <v>Midwest</v>
      </c>
      <c r="C35" t="str">
        <f t="array" ref="C35">IF(B35&lt;&gt;"",INDEX('Raw Data'!$A$2:$A$352,SMALL(IF('Raw Data'!$G$2:$G$352=A35,ROW('Raw Data'!$G$2:$G$352)-1,FALSE),3)),"")</f>
        <v>Oklahoma</v>
      </c>
      <c r="D35" s="71" t="s">
        <v>233</v>
      </c>
    </row>
    <row r="36" spans="1:4" x14ac:dyDescent="0.3">
      <c r="A36">
        <v>3</v>
      </c>
      <c r="B36" t="str">
        <f>Bracket!$Q$86</f>
        <v>Midwest</v>
      </c>
      <c r="C36" t="str">
        <f t="array" ref="C36">IF(B36&lt;&gt;"",INDEX('Raw Data'!$A$2:$A$352,SMALL(IF('Raw Data'!$G$2:$G$352=A36,ROW('Raw Data'!$G$2:$G$352)-1,FALSE),3)),"")</f>
        <v>Utah</v>
      </c>
      <c r="D36" s="71" t="s">
        <v>48</v>
      </c>
    </row>
    <row r="37" spans="1:4" x14ac:dyDescent="0.3">
      <c r="A37">
        <v>4</v>
      </c>
      <c r="B37" t="str">
        <f>Bracket!$Q$86</f>
        <v>Midwest</v>
      </c>
      <c r="C37" t="str">
        <f t="array" ref="C37">IF(B37&lt;&gt;"",INDEX('Raw Data'!$A$2:$A$352,SMALL(IF('Raw Data'!$G$2:$G$352=A37,ROW('Raw Data'!$G$2:$G$352)-1,FALSE),3)),"")</f>
        <v>Iowa State</v>
      </c>
      <c r="D37" s="71" t="s">
        <v>232</v>
      </c>
    </row>
    <row r="38" spans="1:4" x14ac:dyDescent="0.3">
      <c r="A38">
        <v>5</v>
      </c>
      <c r="B38" t="str">
        <f>Bracket!$Q$86</f>
        <v>Midwest</v>
      </c>
      <c r="C38" t="str">
        <f t="array" ref="C38">IF(B38&lt;&gt;"",INDEX('Raw Data'!$A$2:$A$352,SMALL(IF('Raw Data'!$G$2:$G$352=A38,ROW('Raw Data'!$G$2:$G$352)-1,FALSE),3)),"")</f>
        <v>Maryland</v>
      </c>
      <c r="D38" s="71" t="s">
        <v>66</v>
      </c>
    </row>
    <row r="39" spans="1:4" x14ac:dyDescent="0.3">
      <c r="A39">
        <v>6</v>
      </c>
      <c r="B39" t="str">
        <f>Bracket!$Q$86</f>
        <v>Midwest</v>
      </c>
      <c r="C39" t="str">
        <f t="array" ref="C39">IF(B39&lt;&gt;"",INDEX('Raw Data'!$A$2:$A$352,SMALL(IF('Raw Data'!$G$2:$G$352=A39,ROW('Raw Data'!$G$2:$G$352)-1,FALSE),3)),"")</f>
        <v>Seton Hall</v>
      </c>
      <c r="D39" s="71" t="s">
        <v>85</v>
      </c>
    </row>
    <row r="40" spans="1:4" x14ac:dyDescent="0.3">
      <c r="A40">
        <v>7</v>
      </c>
      <c r="B40" t="str">
        <f>Bracket!$Q$86</f>
        <v>Midwest</v>
      </c>
      <c r="C40" t="str">
        <f t="array" ref="C40">IF(B40&lt;&gt;"",INDEX('Raw Data'!$A$2:$A$352,SMALL(IF('Raw Data'!$G$2:$G$352=A40,ROW('Raw Data'!$G$2:$G$352)-1,FALSE),3)),"")</f>
        <v>Dayton</v>
      </c>
      <c r="D40" s="71" t="s">
        <v>14</v>
      </c>
    </row>
    <row r="41" spans="1:4" x14ac:dyDescent="0.3">
      <c r="A41">
        <v>8</v>
      </c>
      <c r="B41" t="str">
        <f>Bracket!$Q$86</f>
        <v>Midwest</v>
      </c>
      <c r="C41" t="str">
        <f t="array" ref="C41">IF(B41&lt;&gt;"",INDEX('Raw Data'!$A$2:$A$352,SMALL(IF('Raw Data'!$G$2:$G$352=A41,ROW('Raw Data'!$G$2:$G$352)-1,FALSE),3)),"")</f>
        <v>USC</v>
      </c>
      <c r="D41" s="71" t="s">
        <v>130</v>
      </c>
    </row>
    <row r="42" spans="1:4" x14ac:dyDescent="0.3">
      <c r="A42">
        <v>9</v>
      </c>
      <c r="B42" t="str">
        <f>Bracket!$Q$86</f>
        <v>Midwest</v>
      </c>
      <c r="C42" t="str">
        <f t="array" ref="C42">IF(B42&lt;&gt;"",INDEX('Raw Data'!$A$2:$A$352,SMALL(IF('Raw Data'!$G$2:$G$352=A42,ROW('Raw Data'!$G$2:$G$352)-1,FALSE),3)),"")</f>
        <v>Butler</v>
      </c>
      <c r="D42" s="71" t="s">
        <v>56</v>
      </c>
    </row>
    <row r="43" spans="1:4" x14ac:dyDescent="0.3">
      <c r="A43">
        <v>10</v>
      </c>
      <c r="B43" t="str">
        <f>Bracket!$Q$86</f>
        <v>Midwest</v>
      </c>
      <c r="C43" t="str">
        <f t="array" ref="C43">IF(B43&lt;&gt;"",INDEX('Raw Data'!$A$2:$A$352,SMALL(IF('Raw Data'!$G$2:$G$352=A43,ROW('Raw Data'!$G$2:$G$352)-1,FALSE),3)),"")</f>
        <v>Pitt</v>
      </c>
      <c r="D43" s="71" t="s">
        <v>16</v>
      </c>
    </row>
    <row r="44" spans="1:4" x14ac:dyDescent="0.3">
      <c r="A44">
        <v>11</v>
      </c>
      <c r="B44" t="str">
        <f>Bracket!$Q$86</f>
        <v>Midwest</v>
      </c>
      <c r="C44" t="str">
        <f t="array" ref="C44">IF(B44&lt;&gt;"",INDEX('Raw Data'!$A$2:$A$352,SMALL(IF('Raw Data'!$G$2:$G$352=A44,ROW('Raw Data'!$G$2:$G$352)-1,FALSE),2)),"")</f>
        <v>Vanderbilt</v>
      </c>
      <c r="D44" s="71" t="s">
        <v>4</v>
      </c>
    </row>
    <row r="45" spans="1:4" x14ac:dyDescent="0.3">
      <c r="A45">
        <v>12</v>
      </c>
      <c r="B45" t="str">
        <f>Bracket!$Q$86</f>
        <v>Midwest</v>
      </c>
      <c r="C45" t="str">
        <f t="array" ref="C45">IF(B45&lt;&gt;"",INDEX('Raw Data'!$A$2:$A$352,SMALL(IF('Raw Data'!$G$2:$G$352=A45,ROW('Raw Data'!$G$2:$G$352)-1,FALSE),3)),"")</f>
        <v>South Dakota St</v>
      </c>
      <c r="D45" s="71" t="s">
        <v>332</v>
      </c>
    </row>
    <row r="46" spans="1:4" x14ac:dyDescent="0.3">
      <c r="A46">
        <v>13</v>
      </c>
      <c r="B46" t="str">
        <f>Bracket!$Q$86</f>
        <v>Midwest</v>
      </c>
      <c r="C46" t="str">
        <f t="array" ref="C46">IF(B46&lt;&gt;"",INDEX('Raw Data'!$A$2:$A$352,SMALL(IF('Raw Data'!$G$2:$G$352=A46,ROW('Raw Data'!$G$2:$G$352)-1,FALSE),3)),"")</f>
        <v>UNC Wilmington</v>
      </c>
      <c r="D46" s="71" t="s">
        <v>88</v>
      </c>
    </row>
    <row r="47" spans="1:4" x14ac:dyDescent="0.3">
      <c r="A47">
        <v>14</v>
      </c>
      <c r="B47" t="str">
        <f>Bracket!$Q$86</f>
        <v>Midwest</v>
      </c>
      <c r="C47" t="str">
        <f t="array" ref="C47">IF(B47&lt;&gt;"",INDEX('Raw Data'!$A$2:$A$352,SMALL(IF('Raw Data'!$G$2:$G$352=A47,ROW('Raw Data'!$G$2:$G$352)-1,FALSE),3)),"")</f>
        <v>Buffalo</v>
      </c>
      <c r="D47" s="71" t="s">
        <v>259</v>
      </c>
    </row>
    <row r="48" spans="1:4" x14ac:dyDescent="0.3">
      <c r="A48">
        <v>15</v>
      </c>
      <c r="B48" t="str">
        <f>Bracket!$Q$86</f>
        <v>Midwest</v>
      </c>
      <c r="C48" t="str">
        <f t="array" ref="C48">IF(B48&lt;&gt;"",INDEX('Raw Data'!$A$2:$A$352,SMALL(IF('Raw Data'!$G$2:$G$352=A48,ROW('Raw Data'!$G$2:$G$352)-1,FALSE),3)),"")</f>
        <v>UNC Asheville</v>
      </c>
      <c r="D48" s="71" t="s">
        <v>132</v>
      </c>
    </row>
    <row r="49" spans="1:4" x14ac:dyDescent="0.3">
      <c r="A49">
        <v>16</v>
      </c>
      <c r="B49" t="str">
        <f>Bracket!$Q$86</f>
        <v>Midwest</v>
      </c>
      <c r="C49" t="str">
        <f t="array" ref="C49">IF(B49&lt;&gt;"",INDEX('Raw Data'!$A$2:$A$352,SMALL(IF('Raw Data'!$G$2:$G$352=A49,ROW('Raw Data'!$G$2:$G$352)-1,FALSE),1)),"")</f>
        <v>Florida Gulf Coast</v>
      </c>
      <c r="D49" s="71" t="s">
        <v>204</v>
      </c>
    </row>
    <row r="50" spans="1:4" x14ac:dyDescent="0.3">
      <c r="A50">
        <v>1</v>
      </c>
      <c r="B50" t="str">
        <f>Bracket!$C$86</f>
        <v>West</v>
      </c>
      <c r="C50" t="str">
        <f t="array" ref="C50">IF(B50&lt;&gt;"",INDEX('Raw Data'!$A$2:$A$352,SMALL(IF('Raw Data'!$G$2:$G$352=A50,ROW('Raw Data'!$G$2:$G$352)-1,FALSE),4)),"")</f>
        <v>Oregon</v>
      </c>
      <c r="D50" s="71" t="s">
        <v>19</v>
      </c>
    </row>
    <row r="51" spans="1:4" x14ac:dyDescent="0.3">
      <c r="A51">
        <v>2</v>
      </c>
      <c r="B51" t="str">
        <f>Bracket!$C$86</f>
        <v>West</v>
      </c>
      <c r="C51" t="str">
        <f t="array" ref="C51">IF(B51&lt;&gt;"",INDEX('Raw Data'!$A$2:$A$352,SMALL(IF('Raw Data'!$G$2:$G$352=A51,ROW('Raw Data'!$G$2:$G$352)-1,FALSE),4)),"")</f>
        <v>Xavier</v>
      </c>
      <c r="D51" s="71" t="s">
        <v>6</v>
      </c>
    </row>
    <row r="52" spans="1:4" x14ac:dyDescent="0.3">
      <c r="A52">
        <v>3</v>
      </c>
      <c r="B52" t="str">
        <f>Bracket!$C$86</f>
        <v>West</v>
      </c>
      <c r="C52" t="str">
        <f t="array" ref="C52">IF(B52&lt;&gt;"",INDEX('Raw Data'!$A$2:$A$352,SMALL(IF('Raw Data'!$G$2:$G$352=A52,ROW('Raw Data'!$G$2:$G$352)-1,FALSE),4)),"")</f>
        <v>Texas A&amp;M</v>
      </c>
      <c r="D52" s="71" t="s">
        <v>63</v>
      </c>
    </row>
    <row r="53" spans="1:4" x14ac:dyDescent="0.3">
      <c r="A53">
        <v>4</v>
      </c>
      <c r="B53" t="str">
        <f>Bracket!$C$86</f>
        <v>West</v>
      </c>
      <c r="C53" t="str">
        <f t="array" ref="C53">IF(B53&lt;&gt;"",INDEX('Raw Data'!$A$2:$A$352,SMALL(IF('Raw Data'!$G$2:$G$352=A53,ROW('Raw Data'!$G$2:$G$352)-1,FALSE),4)),"")</f>
        <v>Cal</v>
      </c>
      <c r="D53" s="71" t="s">
        <v>40</v>
      </c>
    </row>
    <row r="54" spans="1:4" x14ac:dyDescent="0.3">
      <c r="A54">
        <v>5</v>
      </c>
      <c r="B54" t="str">
        <f>Bracket!$C$86</f>
        <v>West</v>
      </c>
      <c r="C54" t="str">
        <f t="array" ref="C54">IF(B54&lt;&gt;"",INDEX('Raw Data'!$A$2:$A$352,SMALL(IF('Raw Data'!$G$2:$G$352=A54,ROW('Raw Data'!$G$2:$G$352)-1,FALSE),4)),"")</f>
        <v>Baylor</v>
      </c>
      <c r="D54" s="71" t="s">
        <v>13</v>
      </c>
    </row>
    <row r="55" spans="1:4" x14ac:dyDescent="0.3">
      <c r="A55">
        <v>6</v>
      </c>
      <c r="B55" t="str">
        <f>Bracket!$C$86</f>
        <v>West</v>
      </c>
      <c r="C55" t="str">
        <f t="array" ref="C55">IF(B55&lt;&gt;"",INDEX('Raw Data'!$A$2:$A$352,SMALL(IF('Raw Data'!$G$2:$G$352=A55,ROW('Raw Data'!$G$2:$G$352)-1,FALSE),4)),"")</f>
        <v>Notre Dame</v>
      </c>
      <c r="D55" s="71" t="s">
        <v>44</v>
      </c>
    </row>
    <row r="56" spans="1:4" x14ac:dyDescent="0.3">
      <c r="A56">
        <v>7</v>
      </c>
      <c r="B56" t="str">
        <f>Bracket!$C$86</f>
        <v>West</v>
      </c>
      <c r="C56" t="str">
        <f t="array" ref="C56">IF(B56&lt;&gt;"",INDEX('Raw Data'!$A$2:$A$352,SMALL(IF('Raw Data'!$G$2:$G$352=A56,ROW('Raw Data'!$G$2:$G$352)-1,FALSE),4)),"")</f>
        <v>Oregon State</v>
      </c>
      <c r="D56" s="71" t="s">
        <v>243</v>
      </c>
    </row>
    <row r="57" spans="1:4" x14ac:dyDescent="0.3">
      <c r="A57">
        <v>8</v>
      </c>
      <c r="B57" t="str">
        <f>Bracket!$C$86</f>
        <v>West</v>
      </c>
      <c r="C57" t="str">
        <f t="array" ref="C57">IF(B57&lt;&gt;"",INDEX('Raw Data'!$A$2:$A$352,SMALL(IF('Raw Data'!$G$2:$G$352=A57,ROW('Raw Data'!$G$2:$G$352)-1,FALSE),4)),"")</f>
        <v>Colorado</v>
      </c>
      <c r="D57" s="71" t="s">
        <v>331</v>
      </c>
    </row>
    <row r="58" spans="1:4" x14ac:dyDescent="0.3">
      <c r="A58">
        <v>9</v>
      </c>
      <c r="B58" t="str">
        <f>Bracket!$C$86</f>
        <v>West</v>
      </c>
      <c r="C58" t="str">
        <f t="array" ref="C58">IF(B58&lt;&gt;"",INDEX('Raw Data'!$A$2:$A$352,SMALL(IF('Raw Data'!$G$2:$G$352=A58,ROW('Raw Data'!$G$2:$G$352)-1,FALSE),4)),"")</f>
        <v>Providence</v>
      </c>
      <c r="D58" s="71" t="s">
        <v>67</v>
      </c>
    </row>
    <row r="59" spans="1:4" x14ac:dyDescent="0.3">
      <c r="A59">
        <v>10</v>
      </c>
      <c r="B59" t="str">
        <f>Bracket!$C$86</f>
        <v>West</v>
      </c>
      <c r="C59" t="str">
        <f t="array" ref="C59">IF(B59&lt;&gt;"",INDEX('Raw Data'!$A$2:$A$352,SMALL(IF('Raw Data'!$G$2:$G$352=A59,ROW('Raw Data'!$G$2:$G$352)-1,FALSE),4)),"")</f>
        <v>Temple</v>
      </c>
      <c r="D59" s="71" t="s">
        <v>5</v>
      </c>
    </row>
    <row r="60" spans="1:4" x14ac:dyDescent="0.3">
      <c r="A60">
        <v>11</v>
      </c>
      <c r="B60" t="s">
        <v>12</v>
      </c>
      <c r="C60" t="str">
        <f t="array" ref="C60">IF(B60&lt;&gt;"",INDEX('Raw Data'!$A$2:$A$352,SMALL(IF('Raw Data'!$G$2:$G$352=A60,ROW('Raw Data'!$G$2:$G$352)-1,FALSE),4)),"")</f>
        <v>Tulsa</v>
      </c>
      <c r="D60" s="71" t="s">
        <v>49</v>
      </c>
    </row>
    <row r="61" spans="1:4" x14ac:dyDescent="0.3">
      <c r="A61">
        <v>12</v>
      </c>
      <c r="B61" t="str">
        <f>Bracket!$C$86</f>
        <v>West</v>
      </c>
      <c r="C61" t="str">
        <f t="array" ref="C61">IF(B61&lt;&gt;"",INDEX('Raw Data'!$A$2:$A$352,SMALL(IF('Raw Data'!$G$2:$G$352=A61,ROW('Raw Data'!$G$2:$G$352)-1,FALSE),4)),"")</f>
        <v>Chattanooga</v>
      </c>
      <c r="D61" s="71" t="s">
        <v>84</v>
      </c>
    </row>
    <row r="62" spans="1:4" x14ac:dyDescent="0.3">
      <c r="A62">
        <v>13</v>
      </c>
      <c r="B62" t="str">
        <f>Bracket!$C$86</f>
        <v>West</v>
      </c>
      <c r="C62" t="str">
        <f t="array" ref="C62">IF(B62&lt;&gt;"",INDEX('Raw Data'!$A$2:$A$352,SMALL(IF('Raw Data'!$G$2:$G$352=A62,ROW('Raw Data'!$G$2:$G$352)-1,FALSE),4)),"")</f>
        <v>Iona</v>
      </c>
      <c r="D62" s="71" t="s">
        <v>311</v>
      </c>
    </row>
    <row r="63" spans="1:4" x14ac:dyDescent="0.3">
      <c r="A63">
        <v>14</v>
      </c>
      <c r="B63" t="str">
        <f>Bracket!$C$86</f>
        <v>West</v>
      </c>
      <c r="C63" t="e">
        <f t="array" ref="C63">IF(B63&lt;&gt;"",INDEX('Raw Data'!$A$2:$A$352,SMALL(IF('Raw Data'!$G$2:$G$352=A63,ROW('Raw Data'!$G$2:$G$352)-1,FALSE),4)),"")</f>
        <v>#NUM!</v>
      </c>
      <c r="D63" s="71" t="s">
        <v>80</v>
      </c>
    </row>
    <row r="64" spans="1:4" x14ac:dyDescent="0.3">
      <c r="A64">
        <v>15</v>
      </c>
      <c r="B64" t="str">
        <f>Bracket!$C$86</f>
        <v>West</v>
      </c>
      <c r="C64" t="str">
        <f t="array" ref="C64">IF(B64&lt;&gt;"",INDEX('Raw Data'!$A$2:$A$352,SMALL(IF('Raw Data'!$G$2:$G$352=A64,ROW('Raw Data'!$G$2:$G$352)-1,FALSE),4)),"")</f>
        <v>Middle Tennessee</v>
      </c>
      <c r="D64" s="71" t="s">
        <v>267</v>
      </c>
    </row>
    <row r="65" spans="1:4" x14ac:dyDescent="0.3">
      <c r="A65">
        <v>16</v>
      </c>
      <c r="C65" t="str">
        <f t="array" ref="C65">IF(B65&lt;&gt;"",INDEX('Raw Data'!$A$2:$A$352,SMALL(IF('Raw Data'!$G$2:$G$352=A65,ROW('Raw Data'!$G$2:$G$352)-1,FALSE),2)),"")</f>
        <v/>
      </c>
    </row>
    <row r="66" spans="1:4" x14ac:dyDescent="0.3">
      <c r="A66">
        <v>11</v>
      </c>
      <c r="B66" t="s">
        <v>389</v>
      </c>
      <c r="C66" t="str">
        <f t="array" ref="C66">INDEX('Raw Data'!$A$2:$A$352,SMALL(IF('Raw Data'!$G$2:$G$352=A66,ROW('Raw Data'!$G$2:$G$352)-1,FALSE),3))</f>
        <v>Gonzaga</v>
      </c>
      <c r="D66" s="71" t="s">
        <v>68</v>
      </c>
    </row>
    <row r="67" spans="1:4" x14ac:dyDescent="0.3">
      <c r="A67">
        <v>11</v>
      </c>
      <c r="B67" t="s">
        <v>389</v>
      </c>
      <c r="C67" t="str">
        <f t="array" ref="C67">INDEX('Raw Data'!$A$2:$A$352,SMALL(IF('Raw Data'!$G$2:$G$352=A67,ROW('Raw Data'!$G$2:$G$352)-1,FALSE),6))</f>
        <v>Northern Iowa</v>
      </c>
      <c r="D67" s="71" t="s">
        <v>368</v>
      </c>
    </row>
    <row r="68" spans="1:4" x14ac:dyDescent="0.3">
      <c r="A68">
        <v>11</v>
      </c>
      <c r="B68" t="s">
        <v>389</v>
      </c>
      <c r="C68" t="str">
        <f t="array" ref="C68">INDEX('Raw Data'!$A$2:$A$352,SMALL(IF('Raw Data'!$G$2:$G$352=A68,ROW('Raw Data'!$G$2:$G$352)-1,FALSE),4))</f>
        <v>Tulsa</v>
      </c>
      <c r="D68" s="71" t="s">
        <v>43</v>
      </c>
    </row>
    <row r="69" spans="1:4" x14ac:dyDescent="0.3">
      <c r="A69">
        <v>11</v>
      </c>
      <c r="B69" t="s">
        <v>389</v>
      </c>
      <c r="C69" t="str">
        <f t="array" ref="C69">INDEX('Raw Data'!$A$2:$A$352,SMALL(IF('Raw Data'!$G$2:$G$352=A69,ROW('Raw Data'!$G$2:$G$352)-1,FALSE),5))</f>
        <v>Michigan</v>
      </c>
      <c r="D69" s="71" t="s">
        <v>9</v>
      </c>
    </row>
    <row r="70" spans="1:4" x14ac:dyDescent="0.3">
      <c r="A70">
        <v>16</v>
      </c>
      <c r="B70" t="s">
        <v>389</v>
      </c>
      <c r="C70" t="str">
        <f t="array" ref="C70">INDEX('Raw Data'!$A$2:$A$352,SMALL(IF('Raw Data'!$G$2:$G$352=A70,ROW('Raw Data'!$G$2:$G$352)-1,FALSE),3))</f>
        <v>Hampton</v>
      </c>
      <c r="D70" s="71" t="s">
        <v>189</v>
      </c>
    </row>
    <row r="71" spans="1:4" x14ac:dyDescent="0.3">
      <c r="A71">
        <v>16</v>
      </c>
      <c r="B71" t="s">
        <v>389</v>
      </c>
      <c r="C71" t="str">
        <f t="array" ref="C71">INDEX('Raw Data'!$A$2:$A$352,SMALL(IF('Raw Data'!$G$2:$G$352=A71,ROW('Raw Data'!$G$2:$G$352)-1,FALSE),6))</f>
        <v>Holy Cross</v>
      </c>
      <c r="D71" s="71" t="s">
        <v>182</v>
      </c>
    </row>
    <row r="72" spans="1:4" x14ac:dyDescent="0.3">
      <c r="A72">
        <v>16</v>
      </c>
      <c r="B72" t="s">
        <v>389</v>
      </c>
      <c r="C72" t="str">
        <f t="array" ref="C72">INDEX('Raw Data'!$A$2:$A$352,SMALL(IF('Raw Data'!$G$2:$G$352=A72,ROW('Raw Data'!$G$2:$G$352)-1,FALSE),4))</f>
        <v>Austin Peay</v>
      </c>
      <c r="D72" s="71" t="s">
        <v>350</v>
      </c>
    </row>
    <row r="73" spans="1:4" x14ac:dyDescent="0.3">
      <c r="A73">
        <v>16</v>
      </c>
      <c r="B73" t="s">
        <v>389</v>
      </c>
      <c r="C73" t="str">
        <f t="array" ref="C73">INDEX('Raw Data'!$A$2:$A$352,SMALL(IF('Raw Data'!$G$2:$G$352=A73,ROW('Raw Data'!$G$2:$G$352)-1,FALSE),5))</f>
        <v>Fairleigh Dickinson</v>
      </c>
      <c r="D73" s="71" t="s">
        <v>219</v>
      </c>
    </row>
  </sheetData>
  <sortState ref="A2:D69">
    <sortCondition ref="B2:B69"/>
  </sortState>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'Raw Data'!$A$2:$A$352</xm:f>
          </x14:formula1>
          <xm:sqref>C2:C73 D64:D73 D2:D62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Bracket</vt:lpstr>
      <vt:lpstr>Data</vt:lpstr>
      <vt:lpstr>Raw Data</vt:lpstr>
      <vt:lpstr>Adj Data</vt:lpstr>
      <vt:lpstr>Bracket Raw</vt:lpstr>
      <vt:lpstr>Seeds</vt:lpstr>
      <vt:lpstr>'Raw Data'!team_data</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Suprabhat Gurrala</dc:creator>
  <cp:lastModifiedBy>Suprabhat Gurrala</cp:lastModifiedBy>
  <dcterms:created xsi:type="dcterms:W3CDTF">2015-02-24T23:13:04Z</dcterms:created>
  <dcterms:modified xsi:type="dcterms:W3CDTF">2016-03-19T15:34:01Z</dcterms:modified>
</cp:coreProperties>
</file>